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haffeyccd-my.sharepoint.com/personal/joseph_cascio_chaffey_edu/Documents/Research Analyst/Surveys and Reports/Combining Initiative Reports/"/>
    </mc:Choice>
  </mc:AlternateContent>
  <xr:revisionPtr revIDLastSave="435" documentId="8_{0966D836-5100-49BC-8A45-6686B0C0AF40}" xr6:coauthVersionLast="47" xr6:coauthVersionMax="47" xr10:uidLastSave="{F6475197-4B75-4748-AD3B-1CB5A3E6C027}"/>
  <bookViews>
    <workbookView xWindow="-28920" yWindow="-120" windowWidth="29040" windowHeight="15720" xr2:uid="{BFF79AE2-E76B-441F-B8D7-30B63CE1804C}"/>
  </bookViews>
  <sheets>
    <sheet name="master" sheetId="1" r:id="rId1"/>
    <sheet name="view specific plans" sheetId="2" r:id="rId2"/>
    <sheet name="dropdown options" sheetId="5" state="hidden" r:id="rId3"/>
  </sheets>
  <definedNames>
    <definedName name="_xlnm._FilterDatabase" localSheetId="1" hidden="1">'view specific plans'!$3:$3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A4" i="2" a="1"/>
  <c r="A3" i="2"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Joseph Cascio</author>
  </authors>
  <commentList>
    <comment ref="C23" authorId="0" shapeId="0" xr:uid="{6692C0CE-8706-441B-90BD-12E8A40DA5DA}">
      <text>
        <r>
          <rPr>
            <b/>
            <sz val="9"/>
            <color indexed="81"/>
            <rFont val="Tahoma"/>
            <family val="2"/>
          </rPr>
          <t>Joseph Cascio:</t>
        </r>
        <r>
          <rPr>
            <sz val="9"/>
            <color indexed="81"/>
            <rFont val="Tahoma"/>
            <family val="2"/>
          </rPr>
          <t xml:space="preserve">
Doesn't match datavista. Perhaps SCFF is all students and DataVista is only General Admit and not first year.</t>
        </r>
      </text>
    </comment>
    <comment ref="C24" authorId="0" shapeId="0" xr:uid="{193B9334-6B6B-4792-8CA9-9E5AAF2C7E82}">
      <text>
        <r>
          <rPr>
            <b/>
            <sz val="9"/>
            <color indexed="81"/>
            <rFont val="Tahoma"/>
            <family val="2"/>
          </rPr>
          <t>Joseph Cascio:</t>
        </r>
        <r>
          <rPr>
            <sz val="9"/>
            <color indexed="81"/>
            <rFont val="Tahoma"/>
            <family val="2"/>
          </rPr>
          <t xml:space="preserve">
Doesn't match datavista. Perhaps SCFF is all students and DataVista is only General Admit and not first year.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<sst xmlns="http://schemas.openxmlformats.org/spreadsheetml/2006/main" count="634" uniqueCount="331">
  <si>
    <t>Metric ID</t>
  </si>
  <si>
    <t>Unified Metric Name</t>
  </si>
  <si>
    <t>Disaggregation / Sub-Group</t>
  </si>
  <si>
    <t>EMP Goal</t>
  </si>
  <si>
    <t>Strategic Plan Goal</t>
  </si>
  <si>
    <t>Strategic Plan Objective</t>
  </si>
  <si>
    <t>Metric Unit / Format</t>
  </si>
  <si>
    <t>Metric Definition</t>
  </si>
  <si>
    <t>Guided Pathways Alignment</t>
  </si>
  <si>
    <t>2020-2021</t>
  </si>
  <si>
    <t>2021-2022</t>
  </si>
  <si>
    <t>2022-2023</t>
  </si>
  <si>
    <t>2023-2024</t>
  </si>
  <si>
    <t>2024-2025</t>
  </si>
  <si>
    <t>2025-2026</t>
  </si>
  <si>
    <t>EMP Baseline (2025-2026 Yr 0)</t>
  </si>
  <si>
    <t>Strategic Plan Baseline (2024-2025 Yr 0)</t>
  </si>
  <si>
    <t>Notes &amp; Methodology Nuances</t>
  </si>
  <si>
    <t>M-001</t>
  </si>
  <si>
    <t>Enrollment &amp; Access</t>
  </si>
  <si>
    <t>Unduplicated Annual Headcount</t>
  </si>
  <si>
    <t>Total Districtwide</t>
  </si>
  <si>
    <t>Location</t>
  </si>
  <si>
    <t>Goal 1: Expand Equitable Access and Enrollment Growth</t>
  </si>
  <si>
    <t>Count</t>
  </si>
  <si>
    <t>Total unduplicated annual student headcount across the district.</t>
  </si>
  <si>
    <t>Executive Director, Institutional Research</t>
  </si>
  <si>
    <t>MIS Datamart</t>
  </si>
  <si>
    <t>Pillar I. Clarify the Path</t>
  </si>
  <si>
    <t>Overlaps between EMP Dashboard ('Unduplicated Annual Headcount', 2022-25 YoY +7.59%) and Ongoing Report Card ('Headcount', 2020-26).</t>
  </si>
  <si>
    <t>Ongoing Report Card</t>
  </si>
  <si>
    <t>Full-Time Equivalent Students (FTES)</t>
  </si>
  <si>
    <t>Decimal (FTES)</t>
  </si>
  <si>
    <t>Total Full-Time Equivalent Students (FTES) generated districtwide across the reporting year.</t>
  </si>
  <si>
    <t>Student Centered Funding Formula (SCFF)</t>
  </si>
  <si>
    <t>M-004</t>
  </si>
  <si>
    <t>Chino Campus FTES</t>
  </si>
  <si>
    <t>Location: Chino Campus</t>
  </si>
  <si>
    <t>FTES generated by sections whose location is coded as 'Chino Campus'.</t>
  </si>
  <si>
    <t>CCFS-320 Portal</t>
  </si>
  <si>
    <t>Tracked in EMP Metrics and EMP Dashboard (2022-25 YoY -3.61%, 3-Yr Trend: Down; increased to 1,367.60 in 2025-26 baseline).</t>
  </si>
  <si>
    <t>M-005</t>
  </si>
  <si>
    <t>Fontana Campus FTES</t>
  </si>
  <si>
    <t>Location: Fontana Campus</t>
  </si>
  <si>
    <t>FTES generated by the Fontana Campus whose section location is coded as 'Fontana Campus'.</t>
  </si>
  <si>
    <t>Tracked in EMP Metrics and EMP Dashboard (2022-25 YoY +3.31%, 3-Yr Trend: Down; increased to 1,348.16 in 2025-26 baseline).</t>
  </si>
  <si>
    <t>M-006</t>
  </si>
  <si>
    <t>K-12 Special Admit / Dual Enrollment FTES</t>
  </si>
  <si>
    <t>SCFF Population: K-12 Dual Enrollment</t>
  </si>
  <si>
    <t>SCFF Populations; Outreach &amp; Marketing</t>
  </si>
  <si>
    <t>Goal 5: Expand equitable access, with intentional emphasis on historically underserved communities</t>
  </si>
  <si>
    <t>Credit FTES generated by K-12 dual enrollment students in the reporting year.</t>
  </si>
  <si>
    <t>Tracked in EMP Metrics and EMP Dashboard (rebounded to 1,802.11 in 2025-26 baseline). For headcount of Special Admit students, see M-096.</t>
  </si>
  <si>
    <t>M-007</t>
  </si>
  <si>
    <t>Incarcerated Credit FTES</t>
  </si>
  <si>
    <t>SCFF Population: Incarcerated Students</t>
  </si>
  <si>
    <t>Credit FTES generated by incarcerated students eligible to attend under Education Code Section 84810.5(a).</t>
  </si>
  <si>
    <t>Tracked in EMP Metrics and EMP Dashboard.</t>
  </si>
  <si>
    <t>M-008</t>
  </si>
  <si>
    <t>Noncredit CDCP FTES</t>
  </si>
  <si>
    <t>SCFF Population: Noncredit CDCP</t>
  </si>
  <si>
    <t>SCFF Populations</t>
  </si>
  <si>
    <t>Noncredit Career Development and College Preparation (CDCP) Full-Time Equivalent Students.</t>
  </si>
  <si>
    <t>Tracked on EMP Dashboard.</t>
  </si>
  <si>
    <t>M-009</t>
  </si>
  <si>
    <t>Pell Grant Recipient Headcount</t>
  </si>
  <si>
    <t>Pell Grant Recipients</t>
  </si>
  <si>
    <t>Headcount of students by district who received a Federal Pell Grant in the district in the reporting year.</t>
  </si>
  <si>
    <t>SCFF file from CCCCO (2024-25 SCFF data report)</t>
  </si>
  <si>
    <t>Increase 1% per year</t>
  </si>
  <si>
    <t>Overlaps across EMP ('Pell Grant Recipient Count' / 'Pell Grant Recipients') and Ongoing Report Card ('Headcount of Pell Grant Recipients').</t>
  </si>
  <si>
    <t>M-010</t>
  </si>
  <si>
    <t>Promise Grant Recipient Headcount</t>
  </si>
  <si>
    <t>California College Promise Grant (CCPG) Recipients</t>
  </si>
  <si>
    <t>Headcount of students by district who received a California College Promise Grant fee waiver pursuant to ECS 76300 in the district in the reporting year.</t>
  </si>
  <si>
    <t>Overlaps across EMP ('Promise Grant Recipient Count' / 'Promise Grant Recipients') and Ongoing Report Card ('Headcount of Promise Grant Recipients').</t>
  </si>
  <si>
    <t>M-011</t>
  </si>
  <si>
    <t>AB540 Students</t>
  </si>
  <si>
    <t>Headcount of students granted a nonresident tuition exemption pursuant to Education Code Section 68130.5 (AB540).</t>
  </si>
  <si>
    <t>Overlaps across EMP Dashboard ('AB540 Students') and Ongoing Report Card ('Headcount of AB540 Students').</t>
  </si>
  <si>
    <t>M-012</t>
  </si>
  <si>
    <t>Scheduling &amp; Efficiency</t>
  </si>
  <si>
    <t>Districtwide Course Fill Rate</t>
  </si>
  <si>
    <t>Scheduling Efficiency</t>
  </si>
  <si>
    <t>Scheduling &amp; Operating Processes and Waitlist Management</t>
  </si>
  <si>
    <t>Goal 2: Increase Scheduling Efficiency</t>
  </si>
  <si>
    <t>Percentage</t>
  </si>
  <si>
    <t>Proportion of available course section seats filled at census districtwide.</t>
  </si>
  <si>
    <t>Pillar III. Stay on the Path</t>
  </si>
  <si>
    <t>Tracked in EMP Metrics ('Districtwide Course Fill Rate') and EMP Dashboard ('Course Fill Rate').</t>
  </si>
  <si>
    <t>M-013</t>
  </si>
  <si>
    <t>FTES/FTEF Ratio</t>
  </si>
  <si>
    <t>Ratio</t>
  </si>
  <si>
    <t>Ratio of Full-Time Equivalent Students (FTES) to Full-Time Equivalent Faculty (FTEF).</t>
  </si>
  <si>
    <t>EMP Metrics sheet lists 12.53 / 13.14 / 13.16 / 14.09; EMP Dashboard lists 12.49 / 13.12 / 13.14 for 2022-25.</t>
  </si>
  <si>
    <t>M-014</t>
  </si>
  <si>
    <t>Percentage of Sections Online</t>
  </si>
  <si>
    <t>Section Modality Distribution</t>
  </si>
  <si>
    <t>Modality: Online</t>
  </si>
  <si>
    <t>Session Length &amp; Modality</t>
  </si>
  <si>
    <t>Goal 3: Strengthen Persistence, Retention, and Momentum</t>
  </si>
  <si>
    <t>Percentage of course sections offered fully online.</t>
  </si>
  <si>
    <t>Tracked on EMP Dashboard ('% Sections Online').</t>
  </si>
  <si>
    <t>M-015</t>
  </si>
  <si>
    <t>Percentage of Sections In-Person / Hybrid</t>
  </si>
  <si>
    <t>Modality: In-Person / Hybrid</t>
  </si>
  <si>
    <t>Percentage of course sections offered in-person or hybrid.</t>
  </si>
  <si>
    <t>Tracked on EMP Dashboard ('% Sections In-Person/Hybrid').</t>
  </si>
  <si>
    <t>M-016</t>
  </si>
  <si>
    <t>Annual Overall Course Success Rate</t>
  </si>
  <si>
    <t>Course Success Rate</t>
  </si>
  <si>
    <t>1.3 Improve course success rates</t>
  </si>
  <si>
    <t>The percentage of enrollments earning a grade of A, B, C, or Pass out of total graded enrollments in a given year.</t>
  </si>
  <si>
    <t>ACCJC Standards</t>
  </si>
  <si>
    <t>Overlaps across all 3 documents: Strategic Plan ('Annual Course Success Rate', 2024-25 baseline 74.1%, target 80%), EMP Dashboard ('Overall Course Success Rate'), and Ongoing Report Card ('Course Success Rates', 2025-26 = 76.08%).</t>
  </si>
  <si>
    <t>M-017</t>
  </si>
  <si>
    <t>Overall In-Person Course Success Rate</t>
  </si>
  <si>
    <t>Modality: In-Person</t>
  </si>
  <si>
    <t>The percentage of enrollments in in-person sections earning a grade of A, B, C, or Pass out of total graded in-person enrollments.</t>
  </si>
  <si>
    <t>Tracked in EMP Metrics sheet; flagged in EMP as aligned with the Strategic Plan Course Success Rate goal.</t>
  </si>
  <si>
    <t>M-018</t>
  </si>
  <si>
    <t>Overall Online Course Success Rate</t>
  </si>
  <si>
    <t>The percentage of enrollments in online sections earning a grade of A, B, C, or Pass out of total graded online enrollments.</t>
  </si>
  <si>
    <t>Tracked in EMP Metrics sheet.</t>
  </si>
  <si>
    <t>Persistence Rate</t>
  </si>
  <si>
    <t>1.2 Reduce time to degree and certificate attainment</t>
  </si>
  <si>
    <t>Student Equity &amp; Achievement (SEA)</t>
  </si>
  <si>
    <t>M-021</t>
  </si>
  <si>
    <t>Momentum &amp; Guided Pathways</t>
  </si>
  <si>
    <t>Percentage of Unique Enrolled Students with Comprehensive Ed Plan (SEP)</t>
  </si>
  <si>
    <t>Comprehensive Student Education Plan (SEP)</t>
  </si>
  <si>
    <t>Rate (% of Unique Enrolled Students)</t>
  </si>
  <si>
    <t>Percentage of unique enrolled students who have a completed Comprehensive Student Education Plan (SEP).</t>
  </si>
  <si>
    <t>Informer (Calculated: Unique Enrolled Students with Comp Ed Plan / Unduplicated Headcount)</t>
  </si>
  <si>
    <t>Pillar I. Clarify the Path; Pillar II. Enter the Path</t>
  </si>
  <si>
    <t>Overlaps between EMP Dashboard ('% Students with Comp. SEP') and Ongoing Report Card ('Percentage of Unique Enrolled Students with Comprehensive Ed Plan'). Note: 23-24 RC sheet had slightly different historical percentages (67.5%, 60.2%, 58.1%).</t>
  </si>
  <si>
    <t>M-024</t>
  </si>
  <si>
    <t>Completion of Transfer-Level Math in First Year</t>
  </si>
  <si>
    <t>First-Year Transfer-Level Math &amp; English Momentum</t>
  </si>
  <si>
    <t>Transfer-Level Math Only</t>
  </si>
  <si>
    <t>Count (RC) / Percentage (SP)</t>
  </si>
  <si>
    <t>Students who completed transfer-level math in their first academic year of credit enrollment (aligned with SCFF).</t>
  </si>
  <si>
    <t>DataVista - Completed Transfer-Level Math: Aligned with SCFF (502SW)</t>
  </si>
  <si>
    <t>Pillar II. Enter the Path</t>
  </si>
  <si>
    <t>Overlaps between Ongoing Report Card 23-24 (tracks headcount in year columns: 2020-21=897, 2021-22=839, 2022-23=1,085, 2023-24=1,086) and Strategic Plan (tracks proportion via DataVista 502SW: 2024-25 baseline = 15.0%, Target = 20.0%).</t>
  </si>
  <si>
    <t>M-025</t>
  </si>
  <si>
    <t>Completion of Transfer-Level English in First Year</t>
  </si>
  <si>
    <t>Transfer-Level English Only</t>
  </si>
  <si>
    <t>Students who completed transfer-level English in their first academic year of credit enrollment (aligned with SCFF).</t>
  </si>
  <si>
    <t>DataVista - Completed Transfer-Level English: Aligned with SCFF (503SW)</t>
  </si>
  <si>
    <t>Overlaps between Ongoing Report Card 23-24 (tracks headcount in year columns: 2020-21=1,874, 2021-22=1,929, 2022-23=2,056, 2023-24=2,435) and Strategic Plan (tracks proportion via DataVista 503SW: 2024-25 baseline = 31.0%, Target = 35.0%).</t>
  </si>
  <si>
    <t>Completion of Both Transfer-Level Math &amp; English in First Year</t>
  </si>
  <si>
    <t>Both Transfer-Level Math &amp; English (Non-Special Admit)</t>
  </si>
  <si>
    <t>Headcount of non-special admit students who completed both transfer-level math and English in their first academic year.</t>
  </si>
  <si>
    <t>Report Card 23-24 SCFF report lists 602 (20-21), 534 (21-22), 591 (22-23), 641 (23-24); DataVista sheet lists 593, 524, 589, 633 (with cohort totals 5,590; 6,702; 7,654; 8,498 and rates 10.6%, 7.8%, 7.7%, 7.4%). Note: EMP Dashboard row 'TL English + Math Completers' lists 925 / 895 / 902 (which duplicates the Transfers to 4-Year row in EMP Dashboard; verify cell reference in EMP Dashboard).</t>
  </si>
  <si>
    <t>M-027</t>
  </si>
  <si>
    <t>Completion &amp; Credentials</t>
  </si>
  <si>
    <t>Unduplicated Award Earners (All Degrees and Certificates)</t>
  </si>
  <si>
    <t>Awards &amp; Credentials</t>
  </si>
  <si>
    <t>Total Unduplicated Student Headcount</t>
  </si>
  <si>
    <t>Strategic Plan (2026-2030)</t>
  </si>
  <si>
    <t>1.1 Increase degree and certificate completion</t>
  </si>
  <si>
    <t>Count (Headcount)</t>
  </si>
  <si>
    <t>The number of students who earned any award in an academic year. Students who earned multiple awards in the same year are counted once.</t>
  </si>
  <si>
    <t>IR Dashboard - Awards (Degrees and Certificates)</t>
  </si>
  <si>
    <t>Pillar IV. Ensure Learning</t>
  </si>
  <si>
    <t>Tracked in Strategic Plan (unduplicated student headcount across all awards). For total duplicated awards earned, see M-100.</t>
  </si>
  <si>
    <t>Goal 4: Accelerate Completion, Credential Attainment, and Transfer</t>
  </si>
  <si>
    <t>M-029</t>
  </si>
  <si>
    <t>Associate Degree (AA/AS Not for Transfer) Earners (Headcount)</t>
  </si>
  <si>
    <t>Associate Degree (AA/AS) - Headcount</t>
  </si>
  <si>
    <t>Headcount of students who received a Chancellor's Office approved associate degree (AA/AS) and were enrolled in the reporting year, excluding those meeting SCFF ADT criteria.</t>
  </si>
  <si>
    <t>Overlaps between EMP ('Associate Degree Earners') and Ongoing Report Card 23-24 ('Headcount of Associate Degree Earners'). Counts highest award earned per student under SCFF rules. For total duplicated AA/AS awards, see M-104.</t>
  </si>
  <si>
    <t>M-031</t>
  </si>
  <si>
    <t>Average Units Accumulated – All Associate Degree Earners</t>
  </si>
  <si>
    <t>Average Units Accumulated</t>
  </si>
  <si>
    <t>All Associate Degree Earners (AD &amp; ADT)</t>
  </si>
  <si>
    <t>Number (Units)</t>
  </si>
  <si>
    <t>The average number of semester units earned for completing an associate degree.</t>
  </si>
  <si>
    <t>Overlaps across all 3 documents. Strategic Plan ('Average Units of All Degree Earners', DataVista 613SW) has 2024-25 baseline = 81, Target = 76. Ongoing Report Card 23-24 lists 83 (21-22), 82 (22-23), 81 (23-24) with a Vision 2030 goal note of 67 units by 2030. EMP Dashboard ('Avg Units – All Degree Earners') lists 83.8 (22-23) and 86.5 (23-24).</t>
  </si>
  <si>
    <t>M-032</t>
  </si>
  <si>
    <t>Associate Degree for Transfer (ADT) Earners</t>
  </si>
  <si>
    <t>Average number of semester units earned by first-time Associate Degree for Transfer (ADT) earners in the reporting year.</t>
  </si>
  <si>
    <t>Overlaps between EMP Metrics ('Avg Units Accumulated for ADT Earners': 81 in 22-23, 79 in 23-24, 79 in 24-25, Target 77; EMP Dashboard lists 77 in 22-23, 79.1 in 23-24) and Ongoing Report Card 23-24 ('Vision 2030 Goal: Average Number of Semester Units Accumulated (AD-T)': 83 in 21-22, 82 in 22-23, 81 in 23-24).</t>
  </si>
  <si>
    <t>M-033</t>
  </si>
  <si>
    <t>Average Units Accumulated – AA/AS Degree (Not for Transfer) Earners</t>
  </si>
  <si>
    <t>AA/AS Degree (Not for Transfer) Earners</t>
  </si>
  <si>
    <t>Average number of semester units earned by AA/AS (not for transfer) associate degree earners in the reporting year.</t>
  </si>
  <si>
    <t>Tracked in EMP Metrics sheet. Note: The original EMP sheet had a copy-paste error in the definition cell (showing transfer definition instead of AA/AS unit accumulation); corrected here.</t>
  </si>
  <si>
    <t>Transfer</t>
  </si>
  <si>
    <t>Transfers to 4-Year Institutions</t>
  </si>
  <si>
    <t>1.4 Increase transfer rates to four-year institutions; 3.2 Strengthen career pathways</t>
  </si>
  <si>
    <t>M-035</t>
  </si>
  <si>
    <t>Career &amp; Workforce</t>
  </si>
  <si>
    <t>Students Completing 9+ Career Education (CTE) Units</t>
  </si>
  <si>
    <t>Career Education (CTE) Momentum</t>
  </si>
  <si>
    <t>3.1 Align programs with regional workforce needs</t>
  </si>
  <si>
    <t>Count (EMP/RC) / Percentage (SP)</t>
  </si>
  <si>
    <t>Students who successfully completed 9 or more Career Technical Education (CTE) semester units in the selected year within the district.</t>
  </si>
  <si>
    <t>Overlaps across all 3 documents. EMP Dashboard &amp; Report Card 23-24 (SCFF) track headcount in year columns: 2,648 (20-21), 2,657 (21-22), 2,821 (22-23), 3,212 (23-24), 3,912 (24-25) (23-24 RC sheet also lists non-SCFF counts: 2,627; 2,633; 2,778; 3,163). Strategic Plan tracks proportion via DataVista (402SW): 2024-25 baseline = 13.0%, Target = 18.0%.</t>
  </si>
  <si>
    <t>M-036</t>
  </si>
  <si>
    <t>Attained a Regional Living Wage</t>
  </si>
  <si>
    <t>Workforce Outcomes</t>
  </si>
  <si>
    <t>3.1 Align programs with regional workforce needs; 3.4 Support upward career and economic mobility</t>
  </si>
  <si>
    <t>Students who attained the district county living wage for a single adult measured immediately following the academic year of exit.</t>
  </si>
  <si>
    <t>Overlaps between Ongoing Report Card 23-24 (tracks SCFF headcount in year columns: 2020-21=3,346; 2021-22=3,589; 2022-23=3,805; 2023-24=2,114) and Strategic Plan (tracks DataVista 802SW proportion: baseline = 45.0% as of 2023-24, Target = 56.0%).</t>
  </si>
  <si>
    <t>M-037</t>
  </si>
  <si>
    <t>Professional Development Participation Rate</t>
  </si>
  <si>
    <t>Professional Learning</t>
  </si>
  <si>
    <t>All Employees</t>
  </si>
  <si>
    <t>2.1 Expand professional learning opportunities</t>
  </si>
  <si>
    <t>The percentage of employees that responded 'Yes' to: 'Have you participated in any Chaffey-sponsored professional learning activities in the past year?'</t>
  </si>
  <si>
    <t>Executive Director, Institutional Research; The Professional Learning Committee</t>
  </si>
  <si>
    <t>Professional Development Needs Assessment Survey, Institutional Research</t>
  </si>
  <si>
    <t>Named 'Data from the professional development needs assessment survey' in Strategic Plan; baseline data (71.0%) is as of Spring 2026.</t>
  </si>
  <si>
    <t>M-038</t>
  </si>
  <si>
    <t>ACES ILO Assessment Rate</t>
  </si>
  <si>
    <t>Outcomes &amp; Assessment</t>
  </si>
  <si>
    <t>Course Sections Assessing ILOs</t>
  </si>
  <si>
    <t>2.2 Optimize the outcomes and assessment process</t>
  </si>
  <si>
    <t>The percentage of sections assessing ACES Institutional Learning Outcomes (ILOs) in a given year.</t>
  </si>
  <si>
    <t>Canvas</t>
  </si>
  <si>
    <t>Tracked in Strategic Plan.</t>
  </si>
  <si>
    <t>M-039</t>
  </si>
  <si>
    <t>Students Awarded at Least One ACES Skill Token</t>
  </si>
  <si>
    <t>Students with &gt;=1 Skill Token</t>
  </si>
  <si>
    <t>2.3 Increase learning outcomes attainment</t>
  </si>
  <si>
    <t>The percentage of students awarded at least one ACES skill token in a given year.</t>
  </si>
  <si>
    <t>Administrator, Instructional Systems and Pathways Innovation</t>
  </si>
  <si>
    <t>Named 'Headcount of students awarded at least one skill token' in Strategic Plan, but defined and measured as a percentage (49.003%).</t>
  </si>
  <si>
    <t>M-040</t>
  </si>
  <si>
    <t>Number of Credit for Prior Learning (CPL) Units Awarded</t>
  </si>
  <si>
    <t>Credit for Prior Learning (CPL)</t>
  </si>
  <si>
    <t>Total CPL Units Transcripted</t>
  </si>
  <si>
    <t>Count (Units)</t>
  </si>
  <si>
    <t>The total number of academic credits or units officially transcripted for prior learning experiences in a given year.</t>
  </si>
  <si>
    <t>M-041</t>
  </si>
  <si>
    <t>Campus Climate &amp; Equity</t>
  </si>
  <si>
    <t>Access to Identity-Affirming Support Services</t>
  </si>
  <si>
    <t>Students of Color &amp; All Students</t>
  </si>
  <si>
    <t>4.2 Provide resources for disproportionately impacted students</t>
  </si>
  <si>
    <t>The percentage of students of color that responded 'Agree' or 'Strongly Agree' to: 'I had access to culturally relevant or identity-affirming support services that contributed to my sense of belonging.'</t>
  </si>
  <si>
    <t>Grad Exit (Award Attainment) Survey Dashboard, Institutional Research</t>
  </si>
  <si>
    <t>Baseline reports both 71.3% (students of color) and 69.9% (all students).</t>
  </si>
  <si>
    <t>Educational Master Plan</t>
  </si>
  <si>
    <t>SCFF file from CCCCO</t>
  </si>
  <si>
    <t>Student Centered Funding Formula (SCFF); Vision 2030</t>
  </si>
  <si>
    <t>ACCJC Standards; Student Centered Funding Formula (SCFF); Vision 2030</t>
  </si>
  <si>
    <t>ACCJC Standards; Strong Workforce Program (SWP); Student Centered Funding Formula (SCFF); Student Equity &amp; Achievement (SEA); Vision 2030</t>
  </si>
  <si>
    <t>ACCJC Standards; Vision 2030</t>
  </si>
  <si>
    <t>Strong Workforce Program (SWP); Student Centered Funding Formula (SCFF)</t>
  </si>
  <si>
    <t>Strong Workforce Program (SWP); Student Centered Funding Formula (SCFF); Vision 2030</t>
  </si>
  <si>
    <t>Data Source(s) (Values separated with ";")</t>
  </si>
  <si>
    <t>Responsible Party(s) (Values separated with ";")</t>
  </si>
  <si>
    <t>Included in Master Plan(s) (Values separated with ";")</t>
  </si>
  <si>
    <t>Metric Category(s) (Values separated with ";")</t>
  </si>
  <si>
    <t>Course Success; Retention &amp; Persistence</t>
  </si>
  <si>
    <t>Learning &amp; Outcomes</t>
  </si>
  <si>
    <t>Financial Aid; SCFF Supplemental Populations</t>
  </si>
  <si>
    <t>Parent Metric / Group(s) (Values separated with ";")</t>
  </si>
  <si>
    <t>EMP Plan Area(s) (Values separated with ";")</t>
  </si>
  <si>
    <t>Plan:</t>
  </si>
  <si>
    <t>Select a plan:</t>
  </si>
  <si>
    <t>AB-540 Student Headcount</t>
  </si>
  <si>
    <t>Fall-to-Spring Persistence Rate (EMP / Informer)</t>
  </si>
  <si>
    <t>The percentage of fall-enrolled students who continued into the following spring term.</t>
  </si>
  <si>
    <t>Tracked in EMP Metrics &amp; Dashboard and Ongoing Report Card. Annual figures: 2020-21=68.10%, 2021-22=64.30%, 2022-23=66.60%, 2023-24=66.20%, 2024-25=67.80%, 2025-26 baseline=68.20%, Target=73.00%. Measures all fall-enrolled students persisting to spring.</t>
  </si>
  <si>
    <t>M-028a</t>
  </si>
  <si>
    <t>Associate Degree for Transfer (ADT) - Headcount (SCFF Highest Award)</t>
  </si>
  <si>
    <t>Headcount of students by district who were reported as receiving a Chancellor's Office approved associate degree for transfer (ADT) at the district in the reporting year and were reported with an enrollment at the district in the reporting year (SCFF highest award criteria).</t>
  </si>
  <si>
    <t>Tracked in EMP Metrics &amp; Dashboard and Ongoing Report Card 23-24. Under SCFF rules, only counts highest award earned per enrolled student (2020-21=1,283; 2021-22=1,123; 2022-23=1,115; 2023-24=1,088; 2024-25=1,375). For duplicated ADT awards, see M-092.</t>
  </si>
  <si>
    <t>M-028b</t>
  </si>
  <si>
    <t>Associate Degree for Transfer (ADT) - Headcount (IR Dashboard Unduplicated)</t>
  </si>
  <si>
    <t>The number of students who earned an Associate Degree for Transfer (ADT) in an academic year. Students who earned multiple ADTs in the same year are counted once.</t>
  </si>
  <si>
    <t>Tracked in 2026-2030 Strategic Plan via IR Dashboard. Unduplicated student headcount earning an ADT (2024-25 baseline = 1,486; Target = 1,620). Not restricted to students where ADT was sole highest award.</t>
  </si>
  <si>
    <t>M-030a</t>
  </si>
  <si>
    <t>Credit Certificates - Headcount (SCFF 16+ Units Highest Award)</t>
  </si>
  <si>
    <t>Headcount of students by district who were reported as receiving a Chancellor's Office approved credit certificate requiring 16+ semester units at the district in the reporting year (SCFF criteria: certificate is highest award).</t>
  </si>
  <si>
    <t>Tracked in EMP Metrics &amp; Dashboard and Ongoing Report Card 23-24. SCFF rules track 16+ unit credit certificates where certificate is highest award (2020-21=187; 2021-22=220; 2022-23=217; 2023-24=280; 2024-25=329). For duplicated certificates, see M-086.</t>
  </si>
  <si>
    <t>M-030b</t>
  </si>
  <si>
    <t>Credit Certificates - Headcount (IR Dashboard All Certificates Unduplicated)</t>
  </si>
  <si>
    <t>The number of students who earned a certificate in an academic year. Students who earned multiple certificates in the same year are counted once.</t>
  </si>
  <si>
    <t>Tracked in 2026-2030 Strategic Plan via IR Dashboard. Unduplicated headcount of all students earning any certificate in the academic year (2024-25 baseline = 1,003; Target = 1,200). Includes certificates under 16 units and students also earning a degree.</t>
  </si>
  <si>
    <t>M-034a</t>
  </si>
  <si>
    <t>Total Districtwide (SCFF 12+ Units Prior Year)</t>
  </si>
  <si>
    <t>Headcount of students by district who earned 12+ semester units in the district in the year prior and enrolled at a 4-year institution in the reporting year.</t>
  </si>
  <si>
    <t>M-034b</t>
  </si>
  <si>
    <t>Total Districtwide (DataVista Exited Students)</t>
  </si>
  <si>
    <t>The number of students who exited the community college system and who enrolled in any four-year postsecondary institution in the subsequent year.</t>
  </si>
  <si>
    <t>Values in 2021-26 columns are from Report Card Main (CCFS-320 Report). 2025-26 baseline is 18,268.48. Distinct from EMP Dashboard internal calculation (see M-003b).</t>
  </si>
  <si>
    <t>Associate Degree for Transfer (ADT) Earners (Headcount – Strategic Plan / IR Dashboard)</t>
  </si>
  <si>
    <t>Credit Certificate Earners (Headcount – SCFF / EMP)</t>
  </si>
  <si>
    <t>Tracked in EMP Metrics &amp; Dashboard and Ongoing Report Card 23-24. SCFF cohort definition requires 12+ units earned in the district in the prior year (2020-21=1,062; 2021-22=1,104; 2022-23=925; 2023-24=895; 2024-25=902).</t>
  </si>
  <si>
    <t>Tracked in 2026-2030 Strategic Plan. DataVista (650SW) counts all exited students enrolling in any four-year postsecondary institution in the subsequent year (Baseline = 2,010 as of 2023-24 exit cohort; Target = 2,300). Broader than SCFF as it does not require 12 units in district in prior year.</t>
  </si>
  <si>
    <t>Metric Trait(s) / Initiative Alignment (Values separated with ";")</t>
  </si>
  <si>
    <t>Goal 1: Success</t>
  </si>
  <si>
    <t>Goal 1: Success; Goal 3: Career</t>
  </si>
  <si>
    <t>Goal 2: Learning</t>
  </si>
  <si>
    <t>Goal 3: Career</t>
  </si>
  <si>
    <t>Goal 4: Equity</t>
  </si>
  <si>
    <t>Educational Master Plan; Strategic Plan (2026-2030)</t>
  </si>
  <si>
    <t>M-020</t>
  </si>
  <si>
    <t>Full-Time Equivalent Students</t>
  </si>
  <si>
    <t>Transfers to 4-Year Institutions (Strategic Plan / DataVista)</t>
  </si>
  <si>
    <t>Transfers to 4-Year Institutions (EMP / SCFF)</t>
  </si>
  <si>
    <t>Certificate Earners (Headcount – IR Dashboard / Strategic Plan)</t>
  </si>
  <si>
    <t>Associate Degree for Transfer (ADT) Earners (Headcount – EMP / SCFF)</t>
  </si>
  <si>
    <t>71.3% (Students of Color); 69.9% (All Students)</t>
  </si>
  <si>
    <t>Strategic Plan Target Goal (By 2030)</t>
  </si>
  <si>
    <t>EMP Target Goal (By YYYY)</t>
  </si>
  <si>
    <t>IR Dashboard - Enrollment Management</t>
  </si>
  <si>
    <t>IR Dashboard - Success and Retention</t>
  </si>
  <si>
    <t>IR Office / Informer Report</t>
  </si>
  <si>
    <t>Date Pulled</t>
  </si>
  <si>
    <t>DataVista Single Metric General Admit Snapshot - Average Number of Semester Units Accumulated: Associate Degree Earners (613SW)</t>
  </si>
  <si>
    <t>DataVista Single Metric General Admit Snapshot - Transferred to a Four-Year Institution: Four-Year Postsecondary Institution (650SW)</t>
  </si>
  <si>
    <t>2024-25 SCFF data report (EMP / RC); DataVista Single Metric General Admit Snapshot - Earned 9+ Career Education Units 402SW (Strategic Plan)</t>
  </si>
  <si>
    <t>2024-25 SCFF data report</t>
  </si>
  <si>
    <t>M-026a</t>
  </si>
  <si>
    <t>M-026b</t>
  </si>
  <si>
    <t>DataVista Single Metric General Admit Snapshot - Completed Transfer-Level Math and English Aligned (501SW)</t>
  </si>
  <si>
    <t>DataVista Single Metric General Admit Snapshot - Attained Living Wage 802SW (Strategic Plan)</t>
  </si>
  <si>
    <t>Average Number of Semester Units Accumulated - Associate Degree for Transfer Earners</t>
  </si>
  <si>
    <t>DataVista Single Metric General Admit Snapshot - Average Number of Semester Units Accumulated: Associate Degree for Transfer Earners (618SW)</t>
  </si>
  <si>
    <t>DataVista Single Metric General Admit Snapshot - Average Number of Semester Units Accumulated: AA/AS Degree (Not for Transfer) Earners (617SW)</t>
  </si>
  <si>
    <t>Strong Workforce</t>
  </si>
  <si>
    <t>Student Centered Funding Formula</t>
  </si>
  <si>
    <t>Student Equity &amp; Achievement</t>
  </si>
  <si>
    <t>Vision 2030</t>
  </si>
  <si>
    <t>M-002</t>
  </si>
  <si>
    <t>CCFS-320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</si>
</sst>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0%"/>
    <numFmt numFmtId="165" formatCode="#,##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4"/>
      <color theme="1"/>
      <name val="Aptos Narrow"/>
      <family val="2"/>
      <scheme val="minor"/>
    </font>
    <font>
      <sz val="11"/>
      <name val="Aptos Narrow"/>
      <family val="2"/>
      <scheme val="minor"/>
    </font>
    <font>
      <sz val="9"/>
      <color indexed="81"/>
      <name val="Tahoma"/>
      <family val="2"/>
    </font>
    <font>
      <b/>
      <sz val="9"/>
      <color indexed="81"/>
      <name val="Tahoma"/>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rgb="FFFF0000"/>
        <bgColor indexed="64"/>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63">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10" xfId="0" applyBorder="1" applyAlignment="1">
      <alignment horizontal="left" vertical="top"/>
    </xf>
    <xf numFmtId="0" fontId="0" fillId="0" borderId="10" xfId="0" applyBorder="1" applyAlignment="1">
      <alignment horizontal="left" vertical="top" wrapText="1"/>
    </xf>
    <xf numFmtId="0" fontId="0" fillId="33" borderId="10" xfId="0" applyFill="1" applyBorder="1" applyAlignment="1">
      <alignment horizontal="left" vertical="top"/>
    </xf>
    <xf numFmtId="0" fontId="0" fillId="0" borderId="0" xfId="0" applyAlignment="1">
      <alignment wrapText="1"/>
    </xf>
    <xf numFmtId="0" fontId="16" fillId="0" borderId="10" xfId="0" applyFont="1" applyBorder="1"/>
    <xf numFmtId="0" fontId="16" fillId="33" borderId="10" xfId="0" applyFont="1" applyFill="1" applyBorder="1"/>
    <xf numFmtId="0" fontId="0" fillId="0" borderId="10" xfId="0" applyBorder="1"/>
    <xf numFmtId="0" fontId="0" fillId="0" borderId="10" xfId="0" applyBorder="1" applyAlignment="1">
      <alignment wrapText="1"/>
    </xf>
    <xf numFmtId="0" fontId="19" fillId="34" borderId="10" xfId="0" applyFont="1" applyFill="1" applyBorder="1" applyAlignment="1">
      <alignment vertical="center"/>
    </xf>
    <xf numFmtId="0" fontId="19" fillId="34" borderId="10" xfId="0" applyFont="1" applyFill="1" applyBorder="1" applyAlignment="1">
      <alignment vertical="center" wrapText="1"/>
    </xf>
    <xf numFmtId="0" fontId="16" fillId="0" borderId="0" xfId="0" applyFont="1" applyAlignment="1">
      <alignment vertical="center"/>
    </xf>
    <xf numFmtId="4" fontId="0" fillId="0" borderId="0" xfId="0" applyNumberFormat="1" applyAlignment="1">
      <alignment horizontal="center" vertical="top"/>
    </xf>
    <xf numFmtId="4" fontId="0" fillId="0" borderId="10" xfId="0" applyNumberFormat="1" applyBorder="1" applyAlignment="1">
      <alignment horizontal="center" vertical="top"/>
    </xf>
    <xf numFmtId="4" fontId="0" fillId="33" borderId="10" xfId="0" applyNumberFormat="1" applyFill="1" applyBorder="1" applyAlignment="1">
      <alignment horizontal="center" vertical="top"/>
    </xf>
    <xf numFmtId="0" fontId="0" fillId="0" borderId="11" xfId="0" applyBorder="1" applyAlignment="1">
      <alignment horizontal="left" vertical="top"/>
    </xf>
    <xf numFmtId="0" fontId="0" fillId="33" borderId="11" xfId="0" applyFill="1" applyBorder="1" applyAlignment="1">
      <alignment horizontal="left" vertical="top"/>
    </xf>
    <xf numFmtId="0" fontId="0" fillId="0" borderId="12" xfId="0" applyBorder="1" applyAlignment="1">
      <alignment horizontal="left" vertical="top" wrapText="1"/>
    </xf>
    <xf numFmtId="0" fontId="16" fillId="0" borderId="13" xfId="0" applyFont="1" applyBorder="1" applyAlignment="1">
      <alignment horizontal="left" vertical="top"/>
    </xf>
    <xf numFmtId="0" fontId="16" fillId="0" borderId="14" xfId="0" applyFont="1" applyBorder="1" applyAlignment="1">
      <alignment horizontal="left" vertical="top"/>
    </xf>
    <xf numFmtId="0" fontId="16" fillId="0" borderId="14" xfId="0" applyFont="1" applyBorder="1" applyAlignment="1">
      <alignment horizontal="left" vertical="top" wrapText="1"/>
    </xf>
    <xf numFmtId="0" fontId="16" fillId="0" borderId="15" xfId="0" applyFont="1" applyBorder="1" applyAlignment="1">
      <alignment horizontal="left" vertical="top" wrapText="1"/>
    </xf>
    <xf numFmtId="49" fontId="0" fillId="0" borderId="10" xfId="0" applyNumberFormat="1" applyBorder="1"/>
    <xf numFmtId="49" fontId="19" fillId="34" borderId="10" xfId="0" applyNumberFormat="1" applyFont="1" applyFill="1" applyBorder="1" applyAlignment="1">
      <alignment vertical="center"/>
    </xf>
    <xf numFmtId="3" fontId="0" fillId="0" borderId="10" xfId="0" applyNumberFormat="1" applyBorder="1" applyAlignment="1">
      <alignment horizontal="center" vertical="top"/>
    </xf>
    <xf numFmtId="3" fontId="0" fillId="33" borderId="10" xfId="0" applyNumberFormat="1" applyFill="1" applyBorder="1" applyAlignment="1">
      <alignment horizontal="center" vertical="top"/>
    </xf>
    <xf numFmtId="0" fontId="0" fillId="0" borderId="10" xfId="0" applyBorder="1" applyAlignment="1">
      <alignment horizontal="center" vertical="top" wrapText="1"/>
    </xf>
    <xf numFmtId="10" fontId="0" fillId="0" borderId="10" xfId="0" applyNumberFormat="1" applyBorder="1" applyAlignment="1">
      <alignment horizontal="center" vertical="top" wrapText="1"/>
    </xf>
    <xf numFmtId="0" fontId="0" fillId="0" borderId="0" xfId="0" applyAlignment="1">
      <alignment horizontal="center" wrapText="1"/>
    </xf>
    <xf numFmtId="0" fontId="0" fillId="0" borderId="0" xfId="0" applyAlignment="1">
      <alignment horizontal="center" vertical="top" wrapText="1"/>
    </xf>
    <xf numFmtId="165" fontId="0" fillId="0" borderId="10" xfId="0" applyNumberFormat="1" applyBorder="1" applyAlignment="1">
      <alignment horizontal="center" vertical="top"/>
    </xf>
    <xf numFmtId="9" fontId="0" fillId="0" borderId="10" xfId="1" applyFont="1" applyBorder="1" applyAlignment="1">
      <alignment horizontal="center" vertical="top"/>
    </xf>
    <xf numFmtId="3" fontId="0" fillId="0" borderId="10" xfId="43" applyNumberFormat="1" applyFont="1" applyFill="1" applyBorder="1" applyAlignment="1">
      <alignment horizontal="center" vertical="top" wrapText="1"/>
    </xf>
    <xf numFmtId="164" fontId="0" fillId="0" borderId="10" xfId="0" applyNumberFormat="1" applyBorder="1" applyAlignment="1">
      <alignment horizontal="center" vertical="top"/>
    </xf>
    <xf numFmtId="164" fontId="0" fillId="0" borderId="10" xfId="1" applyNumberFormat="1" applyFont="1" applyFill="1" applyBorder="1" applyAlignment="1">
      <alignment horizontal="center" vertical="top"/>
    </xf>
    <xf numFmtId="9" fontId="0" fillId="0" borderId="10" xfId="1" applyFont="1" applyFill="1" applyBorder="1" applyAlignment="1">
      <alignment horizontal="center" vertical="top"/>
    </xf>
    <xf numFmtId="4" fontId="0" fillId="35" borderId="10" xfId="0" applyNumberFormat="1" applyFill="1" applyBorder="1" applyAlignment="1">
      <alignment horizontal="center" vertical="top"/>
    </xf>
    <xf numFmtId="164" fontId="0" fillId="35" borderId="10" xfId="0" applyNumberFormat="1" applyFill="1" applyBorder="1" applyAlignment="1">
      <alignment horizontal="center" vertical="top"/>
    </xf>
    <xf numFmtId="164" fontId="0" fillId="35" borderId="10" xfId="1" applyNumberFormat="1" applyFont="1" applyFill="1" applyBorder="1" applyAlignment="1">
      <alignment horizontal="center" vertical="top"/>
    </xf>
    <xf numFmtId="9" fontId="0" fillId="35" borderId="10" xfId="1" applyFont="1" applyFill="1" applyBorder="1" applyAlignment="1">
      <alignment horizontal="center" vertical="top"/>
    </xf>
    <xf numFmtId="3" fontId="0" fillId="35" borderId="10" xfId="0" applyNumberFormat="1" applyFill="1" applyBorder="1" applyAlignment="1">
      <alignment horizontal="center" vertical="top"/>
    </xf>
    <xf numFmtId="165" fontId="0" fillId="35" borderId="10" xfId="0" applyNumberFormat="1" applyFill="1" applyBorder="1" applyAlignment="1">
      <alignment horizontal="center" vertical="top"/>
    </xf>
    <xf numFmtId="0" fontId="0" fillId="33" borderId="10" xfId="0" applyFill="1" applyBorder="1" applyAlignment="1">
      <alignment horizontal="left" vertical="top" wrapText="1"/>
    </xf>
    <xf numFmtId="2" fontId="0" fillId="0" borderId="10" xfId="0" applyNumberFormat="1" applyBorder="1" applyAlignment="1">
      <alignment horizontal="center" vertical="top" wrapText="1"/>
    </xf>
    <xf numFmtId="9" fontId="0" fillId="0" borderId="10" xfId="0" applyNumberFormat="1" applyBorder="1" applyAlignment="1">
      <alignment horizontal="center" vertical="top" wrapText="1"/>
    </xf>
    <xf numFmtId="1" fontId="0" fillId="0" borderId="10" xfId="0" applyNumberFormat="1" applyBorder="1" applyAlignment="1">
      <alignment horizontal="center" vertical="top" wrapText="1"/>
    </xf>
    <xf numFmtId="164" fontId="0" fillId="0" borderId="10" xfId="0" applyNumberFormat="1" applyBorder="1" applyAlignment="1">
      <alignment horizontal="center" vertical="top" wrapText="1"/>
    </xf>
    <xf numFmtId="0" fontId="16" fillId="33" borderId="14" xfId="0" applyFont="1" applyFill="1" applyBorder="1" applyAlignment="1">
      <alignment horizontal="left" vertical="top" wrapText="1"/>
    </xf>
    <xf numFmtId="0" fontId="0" fillId="0" borderId="0" xfId="0" applyAlignment="1">
      <alignment horizontal="left"/>
    </xf>
    <xf numFmtId="164" fontId="0" fillId="36" borderId="10" xfId="1" applyNumberFormat="1" applyFont="1" applyFill="1" applyBorder="1" applyAlignment="1">
      <alignment horizontal="center" vertical="top"/>
    </xf>
    <xf numFmtId="3" fontId="0" fillId="36" borderId="10" xfId="0" applyNumberFormat="1" applyFill="1" applyBorder="1" applyAlignment="1">
      <alignment horizontal="center" vertical="top"/>
    </xf>
    <xf numFmtId="4" fontId="16" fillId="37" borderId="14" xfId="0" applyNumberFormat="1" applyFont="1" applyFill="1" applyBorder="1" applyAlignment="1">
      <alignment horizontal="left" vertical="top"/>
    </xf>
    <xf numFmtId="165" fontId="0" fillId="36" borderId="10" xfId="0" applyNumberFormat="1" applyFill="1" applyBorder="1" applyAlignment="1">
      <alignment horizontal="center" vertical="top"/>
    </xf>
    <xf numFmtId="14" fontId="16" fillId="37" borderId="14" xfId="0" applyNumberFormat="1" applyFont="1" applyFill="1" applyBorder="1" applyAlignment="1">
      <alignment horizontal="left" vertical="top"/>
    </xf>
    <xf numFmtId="14" fontId="0" fillId="0" borderId="10" xfId="0" applyNumberFormat="1" applyBorder="1" applyAlignment="1">
      <alignment horizontal="center" vertical="top"/>
    </xf>
    <xf numFmtId="14" fontId="0" fillId="0" borderId="0" xfId="0" applyNumberFormat="1" applyAlignment="1">
      <alignment horizontal="center" vertical="top"/>
    </xf>
    <xf numFmtId="0" fontId="20" fillId="33" borderId="10" xfId="0" applyFont="1" applyFill="1" applyBorder="1" applyAlignment="1">
      <alignment horizontal="left" vertical="top" wrapText="1"/>
    </xf>
    <xf numFmtId="0" fontId="16" fillId="37" borderId="14" xfId="0" applyFont="1" applyFill="1" applyBorder="1" applyAlignment="1">
      <alignment horizontal="left" vertical="top" wrapText="1"/>
    </xf>
    <xf numFmtId="0" fontId="0" fillId="0" borderId="11" xfId="0" applyFill="1" applyBorder="1" applyAlignment="1">
      <alignment horizontal="left" vertical="top"/>
    </xf>
    <xf numFmtId="0" fontId="0" fillId="0" borderId="10" xfId="0" applyFill="1" applyBorder="1" applyAlignment="1">
      <alignment horizontal="left" vertical="top"/>
    </xf>
    <xf numFmtId="0" fontId="0" fillId="0" borderId="10" xfId="0" applyFill="1" applyBorder="1" applyAlignment="1">
      <alignment horizontal="left" vertical="top"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9">
    <dxf>
      <font>
        <color rgb="FF9C0006"/>
      </font>
      <fill>
        <patternFill>
          <bgColor rgb="FFFFC7CE"/>
        </patternFill>
      </fill>
    </dxf>
    <dxf>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F8E1059C-FCC3-489F-A427-0A2BE5393E7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0BC73B-879E-4C94-B5B8-6C583DD0DDE6}" name="Metrics_Master" displayName="Metrics_Master" ref="A1:AG42" totalsRowShown="0" headerRowDxfId="38" dataDxfId="36" headerRowBorderDxfId="37" tableBorderDxfId="35" totalsRowBorderDxfId="34">
  <autoFilter ref="A1:AG42" xr:uid="{D90BC73B-879E-4C94-B5B8-6C583DD0DDE6}"/>
  <tableColumns count="33">
    <tableColumn id="1" xr3:uid="{215F8C45-7AC1-496F-A7F0-C3DCF56935D3}" name="Metric ID" dataDxfId="33"/>
    <tableColumn id="2" xr3:uid="{E503F1DF-00EC-4775-B89F-B8EBD291E765}" name="Included in Master Plan(s) (Values separated with &quot;;&quot;)" dataDxfId="32"/>
    <tableColumn id="3" xr3:uid="{DEDCBB7D-2300-4C54-9F3E-85884056D528}" name="Unified Metric Name" dataDxfId="31"/>
    <tableColumn id="13" xr3:uid="{69499416-0BBF-4736-A627-F5FF57D01BD6}" name="Data Source(s) (Values separated with &quot;;&quot;)" dataDxfId="30"/>
    <tableColumn id="4" xr3:uid="{EE6D6472-FD34-44C7-8B4D-6F3A1257552B}" name="2020-2021" dataDxfId="29"/>
    <tableColumn id="5" xr3:uid="{1793254C-6C35-43B2-B6DB-EF54AE965174}" name="2021-2022" dataDxfId="28"/>
    <tableColumn id="6" xr3:uid="{0C67F540-92A1-4E42-8DA2-6B08ADE7D888}" name="2022-2023" dataDxfId="27"/>
    <tableColumn id="7" xr3:uid="{7100813D-8C65-4EBF-9DDD-C8CA3A40B451}" name="2023-2024" dataDxfId="26"/>
    <tableColumn id="8" xr3:uid="{DB509304-3EB1-4D4D-B714-6AF965CB0BA7}" name="2024-2025" dataDxfId="25"/>
    <tableColumn id="9" xr3:uid="{F5EAFEFD-FC0A-487F-8525-1C93255BD17F}" name="2025-2026" dataDxfId="24"/>
    <tableColumn id="28" xr3:uid="{71F30DCF-07A1-4BBA-8536-EA45043CB21E}" name="Date Pulled" dataDxfId="23" dataCellStyle="Percent"/>
    <tableColumn id="22" xr3:uid="{19854763-5938-48CE-8523-23258BFF1C3E}" name="EMP Baseline (2025-2026 Yr 0)" dataDxfId="22"/>
    <tableColumn id="23" xr3:uid="{14F0D8E9-D836-4B80-94D3-7B8418392D1A}" name="EMP Target Goal (By YYYY)" dataDxfId="21"/>
    <tableColumn id="24" xr3:uid="{FA021FCD-2B93-4B93-B866-74FFE5B66D07}" name="Strategic Plan Baseline (2024-2025 Yr 0)" dataDxfId="20"/>
    <tableColumn id="25" xr3:uid="{D5AB3269-32D4-42B9-BB3A-AA4B7E4FFDFF}" name="Strategic Plan Target Goal (By 2030)" dataDxfId="19"/>
    <tableColumn id="10" xr3:uid="{75661E75-33EF-41F7-82E4-B6310A3593CE}" name="Metric Category(s) (Values separated with &quot;;&quot;)" dataDxfId="18"/>
    <tableColumn id="11" xr3:uid="{DA1B6D5A-215E-41EA-9F08-24EF4EC80064}" name="Parent Metric / Group(s) (Values separated with &quot;;&quot;)" dataDxfId="17"/>
    <tableColumn id="12" xr3:uid="{820F094D-7B9E-47B0-8C6E-0D83F1170158}" name="Disaggregation / Sub-Group" dataDxfId="16"/>
    <tableColumn id="14" xr3:uid="{380BCA21-1816-46A2-8F4A-8733D846638C}" name="Metric Trait(s) / Initiative Alignment (Values separated with &quot;;&quot;)" dataDxfId="15"/>
    <tableColumn id="33" xr3:uid="{30C37D61-BC2A-4AD2-B1A3-9187EAB465BB}" name="ACCJC Standards" dataDxfId="14">
      <calculatedColumnFormula>IF(ISNUMBER(SEARCH("ACCJC Standards", S2)), "Y", "N")</calculatedColumnFormula>
    </tableColumn>
    <tableColumn id="32" xr3:uid="{C6712682-3963-4516-A2DC-7E6016468850}" name="Strong Workforce" dataDxfId="13">
      <calculatedColumnFormula>IF(ISNUMBER(SEARCH("Strong Workforce", S2)), "Y", "N")</calculatedColumnFormula>
    </tableColumn>
    <tableColumn id="31" xr3:uid="{EDE154D8-8FE9-4D27-89B8-CA70C2FFC62D}" name="Student Centered Funding Formula" dataDxfId="12">
      <calculatedColumnFormula>IF(ISNUMBER(SEARCH("Student Centered Funding Formula", S2)), "Y", "N")</calculatedColumnFormula>
    </tableColumn>
    <tableColumn id="30" xr3:uid="{F2F83208-B06A-4777-B7B4-BFC9907E76C1}" name="Student Equity &amp; Achievement" dataDxfId="11">
      <calculatedColumnFormula>IF(ISNUMBER(SEARCH("Student Equity &amp; Achievement", S2)), "Y", "N")</calculatedColumnFormula>
    </tableColumn>
    <tableColumn id="29" xr3:uid="{C6F254F7-F7EE-4E9F-993E-38138C285B92}" name="Vision 2030" dataDxfId="10">
      <calculatedColumnFormula>IF(ISNUMBER(SEARCH("Vision 2030", S2)), "Y", "N")</calculatedColumnFormula>
    </tableColumn>
    <tableColumn id="15" xr3:uid="{720F9919-B516-4F6D-A4E9-AFAC3AAE8FE8}" name="Metric Unit / Format" dataDxfId="9"/>
    <tableColumn id="16" xr3:uid="{B95953D7-6301-4CC6-AAAA-00EC45DC8696}" name="Metric Definition" dataDxfId="8"/>
    <tableColumn id="17" xr3:uid="{16703B11-181A-4C28-89FA-B74B6009D141}" name="EMP Plan Area(s) (Values separated with &quot;;&quot;)" dataDxfId="7"/>
    <tableColumn id="18" xr3:uid="{A85AE38E-DD71-47D8-9B3F-93F3665251C9}" name="EMP Goal" dataDxfId="6"/>
    <tableColumn id="19" xr3:uid="{B5229022-4623-4A51-8A04-59F34185791D}" name="Strategic Plan Goal" dataDxfId="5"/>
    <tableColumn id="20" xr3:uid="{68B3561C-0B72-42FA-B91B-F32D508D228A}" name="Strategic Plan Objective" dataDxfId="4"/>
    <tableColumn id="21" xr3:uid="{E6E125FC-4BE6-440C-9CF6-403D81BF954C}" name="Guided Pathways Alignment" dataDxfId="3"/>
    <tableColumn id="26" xr3:uid="{CBEEC815-9C36-494D-846B-F0E62B179CB5}" name="Responsible Party(s) (Values separated with &quot;;&quot;)" dataDxfId="2"/>
    <tableColumn id="27" xr3:uid="{FD86AE70-9F9B-455E-A273-BF718DEAEFCA}" name="Notes &amp; Methodology Nuances"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F54D3-5712-4678-A052-6EB322406C00}">
  <dimension ref="A1:AG48"/>
  <sheetViews>
    <sheetView tabSelected="1" zoomScale="130" zoomScaleNormal="130" workbookViewId="0">
      <pane ySplit="1" topLeftCell="A2" activePane="bottomLeft" state="frozen"/>
      <selection pane="bottomLeft"/>
    </sheetView>
  </sheetViews>
  <sheetFormatPr defaultColWidth="162.28515625" defaultRowHeight="15" x14ac:dyDescent="0.25"/>
  <cols>
    <col min="1" max="1" width="11.42578125" style="1" bestFit="1" customWidth="1"/>
    <col min="2" max="2" width="52.140625" style="1" bestFit="1" customWidth="1"/>
    <col min="3" max="3" width="60.28515625" style="2" customWidth="1"/>
    <col min="4" max="4" width="41.140625" style="6" customWidth="1"/>
    <col min="5" max="10" width="12.7109375" style="14" bestFit="1" customWidth="1"/>
    <col min="11" max="11" width="12.7109375" style="57" customWidth="1"/>
    <col min="12" max="12" width="30.140625" style="30" bestFit="1" customWidth="1"/>
    <col min="13" max="13" width="31.28515625" style="31" bestFit="1" customWidth="1"/>
    <col min="14" max="14" width="42.28515625" style="31" bestFit="1" customWidth="1"/>
    <col min="15" max="15" width="37.5703125" style="31" bestFit="1" customWidth="1"/>
    <col min="16" max="16" width="45.42578125" style="2" bestFit="1" customWidth="1"/>
    <col min="17" max="17" width="50.42578125" style="6" bestFit="1" customWidth="1"/>
    <col min="18" max="18" width="71.28515625" style="2" bestFit="1" customWidth="1"/>
    <col min="19" max="19" width="59.140625" customWidth="1"/>
    <col min="20" max="24" width="13" customWidth="1"/>
    <col min="25" max="25" width="30.7109375" style="2" bestFit="1" customWidth="1"/>
    <col min="26" max="26" width="63.7109375" style="2" customWidth="1"/>
    <col min="27" max="27" width="55.42578125" style="2" bestFit="1" customWidth="1"/>
    <col min="28" max="28" width="59.85546875" style="6" customWidth="1"/>
    <col min="29" max="29" width="28.5703125" style="2" bestFit="1" customWidth="1"/>
    <col min="30" max="30" width="91.42578125" style="2" bestFit="1" customWidth="1"/>
    <col min="31" max="31" width="42.28515625" style="2" bestFit="1" customWidth="1"/>
    <col min="32" max="32" width="72.42578125" style="6" bestFit="1" customWidth="1"/>
    <col min="33" max="33" width="49.85546875" customWidth="1"/>
  </cols>
  <sheetData>
    <row r="1" spans="1:33" s="50" customFormat="1" ht="60" x14ac:dyDescent="0.25">
      <c r="A1" s="20" t="s">
        <v>0</v>
      </c>
      <c r="B1" s="21" t="s">
        <v>254</v>
      </c>
      <c r="C1" s="22" t="s">
        <v>1</v>
      </c>
      <c r="D1" s="22" t="s">
        <v>252</v>
      </c>
      <c r="E1" s="53" t="s">
        <v>9</v>
      </c>
      <c r="F1" s="53" t="s">
        <v>10</v>
      </c>
      <c r="G1" s="53" t="s">
        <v>11</v>
      </c>
      <c r="H1" s="53" t="s">
        <v>12</v>
      </c>
      <c r="I1" s="53" t="s">
        <v>13</v>
      </c>
      <c r="J1" s="53" t="s">
        <v>14</v>
      </c>
      <c r="K1" s="55" t="s">
        <v>313</v>
      </c>
      <c r="L1" s="22" t="s">
        <v>15</v>
      </c>
      <c r="M1" s="49" t="s">
        <v>309</v>
      </c>
      <c r="N1" s="22" t="s">
        <v>16</v>
      </c>
      <c r="O1" s="22" t="s">
        <v>308</v>
      </c>
      <c r="P1" s="22" t="s">
        <v>255</v>
      </c>
      <c r="Q1" s="22" t="s">
        <v>259</v>
      </c>
      <c r="R1" s="22" t="s">
        <v>2</v>
      </c>
      <c r="S1" s="22" t="s">
        <v>294</v>
      </c>
      <c r="T1" s="59" t="s">
        <v>113</v>
      </c>
      <c r="U1" s="59" t="s">
        <v>325</v>
      </c>
      <c r="V1" s="59" t="s">
        <v>326</v>
      </c>
      <c r="W1" s="59" t="s">
        <v>327</v>
      </c>
      <c r="X1" s="59" t="s">
        <v>328</v>
      </c>
      <c r="Y1" s="22" t="s">
        <v>6</v>
      </c>
      <c r="Z1" s="22" t="s">
        <v>7</v>
      </c>
      <c r="AA1" s="22" t="s">
        <v>260</v>
      </c>
      <c r="AB1" s="22" t="s">
        <v>3</v>
      </c>
      <c r="AC1" s="22" t="s">
        <v>4</v>
      </c>
      <c r="AD1" s="22" t="s">
        <v>5</v>
      </c>
      <c r="AE1" s="22" t="s">
        <v>8</v>
      </c>
      <c r="AF1" s="22" t="s">
        <v>253</v>
      </c>
      <c r="AG1" s="23" t="s">
        <v>17</v>
      </c>
    </row>
    <row r="2" spans="1:33" ht="45" x14ac:dyDescent="0.25">
      <c r="A2" s="17" t="s">
        <v>18</v>
      </c>
      <c r="B2" s="3" t="s">
        <v>244</v>
      </c>
      <c r="C2" s="3" t="s">
        <v>20</v>
      </c>
      <c r="D2" s="4" t="s">
        <v>27</v>
      </c>
      <c r="E2" s="26">
        <v>28796</v>
      </c>
      <c r="F2" s="26">
        <v>28316</v>
      </c>
      <c r="G2" s="26">
        <v>30505</v>
      </c>
      <c r="H2" s="26">
        <v>33531</v>
      </c>
      <c r="I2" s="26">
        <v>36077</v>
      </c>
      <c r="J2" s="26">
        <v>36592</v>
      </c>
      <c r="K2" s="26"/>
      <c r="L2" s="34">
        <v>36592</v>
      </c>
      <c r="M2" s="28"/>
      <c r="N2" s="28"/>
      <c r="O2" s="28"/>
      <c r="P2" s="4" t="s">
        <v>19</v>
      </c>
      <c r="Q2" s="4" t="s">
        <v>20</v>
      </c>
      <c r="R2" s="4" t="s">
        <v>21</v>
      </c>
      <c r="S2" s="4"/>
      <c r="T2" s="4" t="str">
        <f t="shared" ref="T2:T42" si="0">IF(ISNUMBER(SEARCH("ACCJC Standards", S2)), "Y", "N")</f>
        <v>N</v>
      </c>
      <c r="U2" s="4" t="str">
        <f t="shared" ref="U2:U42" si="1">IF(ISNUMBER(SEARCH("Strong Workforce", S2)), "Y", "N")</f>
        <v>N</v>
      </c>
      <c r="V2" s="4" t="str">
        <f t="shared" ref="V2:V42" si="2">IF(ISNUMBER(SEARCH("Student Centered Funding Formula", S2)), "Y", "N")</f>
        <v>N</v>
      </c>
      <c r="W2" s="4" t="str">
        <f t="shared" ref="W2:W42" si="3">IF(ISNUMBER(SEARCH("Student Equity &amp; Achievement", S2)), "Y", "N")</f>
        <v>N</v>
      </c>
      <c r="X2" s="4" t="str">
        <f t="shared" ref="X2:X42" si="4">IF(ISNUMBER(SEARCH("Vision 2030", S2)), "Y", "N")</f>
        <v>N</v>
      </c>
      <c r="Y2" s="4" t="s">
        <v>24</v>
      </c>
      <c r="Z2" s="4" t="s">
        <v>25</v>
      </c>
      <c r="AA2" s="4" t="s">
        <v>22</v>
      </c>
      <c r="AB2" s="4" t="s">
        <v>23</v>
      </c>
      <c r="AC2" s="4"/>
      <c r="AD2" s="4"/>
      <c r="AE2" s="4" t="s">
        <v>28</v>
      </c>
      <c r="AF2" s="4" t="s">
        <v>26</v>
      </c>
      <c r="AG2" s="19" t="s">
        <v>29</v>
      </c>
    </row>
    <row r="3" spans="1:33" ht="60" x14ac:dyDescent="0.25">
      <c r="A3" s="60" t="s">
        <v>329</v>
      </c>
      <c r="B3" s="61" t="s">
        <v>244</v>
      </c>
      <c r="C3" s="61" t="s">
        <v>302</v>
      </c>
      <c r="D3" s="62" t="s">
        <v>330</v>
      </c>
      <c r="E3" s="15">
        <v>14513.1</v>
      </c>
      <c r="F3" s="15">
        <v>13417.53</v>
      </c>
      <c r="G3" s="15">
        <v>14360.78</v>
      </c>
      <c r="H3" s="15">
        <v>15514.77</v>
      </c>
      <c r="I3" s="15">
        <v>17884.3</v>
      </c>
      <c r="J3" s="15">
        <v>18268.48</v>
      </c>
      <c r="K3" s="15"/>
      <c r="L3" s="28">
        <v>18268.48</v>
      </c>
      <c r="M3" s="28"/>
      <c r="N3" s="28"/>
      <c r="O3" s="28"/>
      <c r="P3" s="4" t="s">
        <v>19</v>
      </c>
      <c r="Q3" s="4" t="s">
        <v>31</v>
      </c>
      <c r="R3" s="4" t="s">
        <v>21</v>
      </c>
      <c r="S3" s="4" t="s">
        <v>34</v>
      </c>
      <c r="T3" s="4" t="str">
        <f t="shared" si="0"/>
        <v>N</v>
      </c>
      <c r="U3" s="4" t="str">
        <f t="shared" si="1"/>
        <v>N</v>
      </c>
      <c r="V3" s="4" t="str">
        <f t="shared" si="2"/>
        <v>Y</v>
      </c>
      <c r="W3" s="4" t="str">
        <f t="shared" si="3"/>
        <v>N</v>
      </c>
      <c r="X3" s="4" t="str">
        <f t="shared" si="4"/>
        <v>N</v>
      </c>
      <c r="Y3" s="4" t="s">
        <v>32</v>
      </c>
      <c r="Z3" s="4" t="s">
        <v>33</v>
      </c>
      <c r="AA3" s="4" t="s">
        <v>22</v>
      </c>
      <c r="AB3" s="4" t="s">
        <v>23</v>
      </c>
      <c r="AC3" s="4"/>
      <c r="AD3" s="4"/>
      <c r="AE3" s="4" t="s">
        <v>28</v>
      </c>
      <c r="AF3" s="4" t="s">
        <v>26</v>
      </c>
      <c r="AG3" s="19" t="s">
        <v>289</v>
      </c>
    </row>
    <row r="4" spans="1:33" ht="45" x14ac:dyDescent="0.25">
      <c r="A4" s="17" t="s">
        <v>35</v>
      </c>
      <c r="B4" s="3" t="s">
        <v>244</v>
      </c>
      <c r="C4" s="3" t="s">
        <v>36</v>
      </c>
      <c r="D4" s="4" t="s">
        <v>39</v>
      </c>
      <c r="E4" s="38"/>
      <c r="F4" s="38"/>
      <c r="G4" s="15">
        <v>1683.81</v>
      </c>
      <c r="H4" s="15">
        <v>1279.95</v>
      </c>
      <c r="I4" s="15">
        <v>1233.7</v>
      </c>
      <c r="J4" s="15">
        <v>1367.6</v>
      </c>
      <c r="K4" s="15"/>
      <c r="L4" s="28">
        <v>1367.6</v>
      </c>
      <c r="M4" s="28" t="s">
        <v>69</v>
      </c>
      <c r="N4" s="28"/>
      <c r="O4" s="28"/>
      <c r="P4" s="4" t="s">
        <v>19</v>
      </c>
      <c r="Q4" s="4" t="s">
        <v>31</v>
      </c>
      <c r="R4" s="4" t="s">
        <v>37</v>
      </c>
      <c r="S4" s="4" t="s">
        <v>34</v>
      </c>
      <c r="T4" s="4" t="str">
        <f t="shared" si="0"/>
        <v>N</v>
      </c>
      <c r="U4" s="4" t="str">
        <f t="shared" si="1"/>
        <v>N</v>
      </c>
      <c r="V4" s="4" t="str">
        <f t="shared" si="2"/>
        <v>Y</v>
      </c>
      <c r="W4" s="4" t="str">
        <f t="shared" si="3"/>
        <v>N</v>
      </c>
      <c r="X4" s="4" t="str">
        <f t="shared" si="4"/>
        <v>N</v>
      </c>
      <c r="Y4" s="4" t="s">
        <v>32</v>
      </c>
      <c r="Z4" s="4" t="s">
        <v>38</v>
      </c>
      <c r="AA4" s="4" t="s">
        <v>22</v>
      </c>
      <c r="AB4" s="4" t="s">
        <v>23</v>
      </c>
      <c r="AC4" s="4"/>
      <c r="AD4" s="4"/>
      <c r="AE4" s="4" t="s">
        <v>28</v>
      </c>
      <c r="AF4" s="4"/>
      <c r="AG4" s="19" t="s">
        <v>40</v>
      </c>
    </row>
    <row r="5" spans="1:33" ht="45" x14ac:dyDescent="0.25">
      <c r="A5" s="17" t="s">
        <v>41</v>
      </c>
      <c r="B5" s="3" t="s">
        <v>244</v>
      </c>
      <c r="C5" s="3" t="s">
        <v>42</v>
      </c>
      <c r="D5" s="4" t="s">
        <v>39</v>
      </c>
      <c r="E5" s="38"/>
      <c r="F5" s="38"/>
      <c r="G5" s="15">
        <v>1453.6</v>
      </c>
      <c r="H5" s="15">
        <v>1110.97</v>
      </c>
      <c r="I5" s="15">
        <v>1147.79</v>
      </c>
      <c r="J5" s="15">
        <v>1348.16</v>
      </c>
      <c r="K5" s="15"/>
      <c r="L5" s="28">
        <v>1348.16</v>
      </c>
      <c r="M5" s="28" t="s">
        <v>69</v>
      </c>
      <c r="N5" s="28"/>
      <c r="O5" s="28"/>
      <c r="P5" s="4" t="s">
        <v>19</v>
      </c>
      <c r="Q5" s="4" t="s">
        <v>31</v>
      </c>
      <c r="R5" s="4" t="s">
        <v>43</v>
      </c>
      <c r="S5" s="4" t="s">
        <v>34</v>
      </c>
      <c r="T5" s="4" t="str">
        <f t="shared" si="0"/>
        <v>N</v>
      </c>
      <c r="U5" s="4" t="str">
        <f t="shared" si="1"/>
        <v>N</v>
      </c>
      <c r="V5" s="4" t="str">
        <f t="shared" si="2"/>
        <v>Y</v>
      </c>
      <c r="W5" s="4" t="str">
        <f t="shared" si="3"/>
        <v>N</v>
      </c>
      <c r="X5" s="4" t="str">
        <f t="shared" si="4"/>
        <v>N</v>
      </c>
      <c r="Y5" s="4" t="s">
        <v>32</v>
      </c>
      <c r="Z5" s="4" t="s">
        <v>44</v>
      </c>
      <c r="AA5" s="4" t="s">
        <v>22</v>
      </c>
      <c r="AB5" s="4" t="s">
        <v>23</v>
      </c>
      <c r="AC5" s="4"/>
      <c r="AD5" s="4"/>
      <c r="AE5" s="4" t="s">
        <v>28</v>
      </c>
      <c r="AF5" s="4"/>
      <c r="AG5" s="19" t="s">
        <v>45</v>
      </c>
    </row>
    <row r="6" spans="1:33" ht="45" x14ac:dyDescent="0.25">
      <c r="A6" s="17" t="s">
        <v>46</v>
      </c>
      <c r="B6" s="3" t="s">
        <v>244</v>
      </c>
      <c r="C6" s="3" t="s">
        <v>47</v>
      </c>
      <c r="D6" s="4" t="s">
        <v>39</v>
      </c>
      <c r="E6" s="38"/>
      <c r="F6" s="38"/>
      <c r="G6" s="15">
        <v>1199.52</v>
      </c>
      <c r="H6" s="15">
        <v>1482.93</v>
      </c>
      <c r="I6" s="15">
        <v>1220.21</v>
      </c>
      <c r="J6" s="15">
        <v>1802.11</v>
      </c>
      <c r="K6" s="15"/>
      <c r="L6" s="28">
        <v>1802.11</v>
      </c>
      <c r="M6" s="28"/>
      <c r="N6" s="28"/>
      <c r="O6" s="28"/>
      <c r="P6" s="4" t="s">
        <v>19</v>
      </c>
      <c r="Q6" s="4" t="s">
        <v>31</v>
      </c>
      <c r="R6" s="4" t="s">
        <v>48</v>
      </c>
      <c r="S6" s="4" t="s">
        <v>246</v>
      </c>
      <c r="T6" s="4" t="str">
        <f t="shared" si="0"/>
        <v>N</v>
      </c>
      <c r="U6" s="4" t="str">
        <f t="shared" si="1"/>
        <v>N</v>
      </c>
      <c r="V6" s="4" t="str">
        <f t="shared" si="2"/>
        <v>Y</v>
      </c>
      <c r="W6" s="4" t="str">
        <f t="shared" si="3"/>
        <v>N</v>
      </c>
      <c r="X6" s="4" t="str">
        <f t="shared" si="4"/>
        <v>Y</v>
      </c>
      <c r="Y6" s="4" t="s">
        <v>32</v>
      </c>
      <c r="Z6" s="4" t="s">
        <v>51</v>
      </c>
      <c r="AA6" s="4" t="s">
        <v>49</v>
      </c>
      <c r="AB6" s="4" t="s">
        <v>50</v>
      </c>
      <c r="AC6" s="4"/>
      <c r="AD6" s="4"/>
      <c r="AE6" s="4" t="s">
        <v>28</v>
      </c>
      <c r="AF6" s="4"/>
      <c r="AG6" s="19" t="s">
        <v>52</v>
      </c>
    </row>
    <row r="7" spans="1:33" ht="30" x14ac:dyDescent="0.25">
      <c r="A7" s="17" t="s">
        <v>53</v>
      </c>
      <c r="B7" s="3" t="s">
        <v>244</v>
      </c>
      <c r="C7" s="3" t="s">
        <v>54</v>
      </c>
      <c r="D7" s="4" t="s">
        <v>39</v>
      </c>
      <c r="E7" s="38"/>
      <c r="F7" s="38"/>
      <c r="G7" s="15">
        <v>56.76</v>
      </c>
      <c r="H7" s="15">
        <v>104.07</v>
      </c>
      <c r="I7" s="15">
        <v>106.81</v>
      </c>
      <c r="J7" s="15">
        <v>149.16999999999999</v>
      </c>
      <c r="K7" s="15"/>
      <c r="L7" s="28">
        <v>149.16999999999999</v>
      </c>
      <c r="M7" s="28"/>
      <c r="N7" s="28"/>
      <c r="O7" s="28"/>
      <c r="P7" s="4" t="s">
        <v>19</v>
      </c>
      <c r="Q7" s="4" t="s">
        <v>31</v>
      </c>
      <c r="R7" s="4" t="s">
        <v>55</v>
      </c>
      <c r="S7" s="4" t="s">
        <v>246</v>
      </c>
      <c r="T7" s="4" t="str">
        <f t="shared" si="0"/>
        <v>N</v>
      </c>
      <c r="U7" s="4" t="str">
        <f t="shared" si="1"/>
        <v>N</v>
      </c>
      <c r="V7" s="4" t="str">
        <f t="shared" si="2"/>
        <v>Y</v>
      </c>
      <c r="W7" s="4" t="str">
        <f t="shared" si="3"/>
        <v>N</v>
      </c>
      <c r="X7" s="4" t="str">
        <f t="shared" si="4"/>
        <v>Y</v>
      </c>
      <c r="Y7" s="4" t="s">
        <v>32</v>
      </c>
      <c r="Z7" s="4" t="s">
        <v>56</v>
      </c>
      <c r="AA7" s="4" t="s">
        <v>49</v>
      </c>
      <c r="AB7" s="4" t="s">
        <v>50</v>
      </c>
      <c r="AC7" s="4"/>
      <c r="AD7" s="4"/>
      <c r="AE7" s="4" t="s">
        <v>28</v>
      </c>
      <c r="AF7" s="4"/>
      <c r="AG7" s="19" t="s">
        <v>57</v>
      </c>
    </row>
    <row r="8" spans="1:33" ht="30" x14ac:dyDescent="0.25">
      <c r="A8" s="17" t="s">
        <v>58</v>
      </c>
      <c r="B8" s="3" t="s">
        <v>244</v>
      </c>
      <c r="C8" s="3" t="s">
        <v>59</v>
      </c>
      <c r="D8" s="4" t="s">
        <v>39</v>
      </c>
      <c r="E8" s="38"/>
      <c r="F8" s="38"/>
      <c r="G8" s="15">
        <v>218.36</v>
      </c>
      <c r="H8" s="15">
        <v>106.6</v>
      </c>
      <c r="I8" s="15">
        <v>155.51</v>
      </c>
      <c r="J8" s="38"/>
      <c r="K8" s="38"/>
      <c r="L8" s="28"/>
      <c r="M8" s="28"/>
      <c r="N8" s="28"/>
      <c r="O8" s="28"/>
      <c r="P8" s="4" t="s">
        <v>19</v>
      </c>
      <c r="Q8" s="4" t="s">
        <v>31</v>
      </c>
      <c r="R8" s="4" t="s">
        <v>60</v>
      </c>
      <c r="S8" s="4" t="s">
        <v>34</v>
      </c>
      <c r="T8" s="4" t="str">
        <f t="shared" si="0"/>
        <v>N</v>
      </c>
      <c r="U8" s="4" t="str">
        <f t="shared" si="1"/>
        <v>N</v>
      </c>
      <c r="V8" s="4" t="str">
        <f t="shared" si="2"/>
        <v>Y</v>
      </c>
      <c r="W8" s="4" t="str">
        <f t="shared" si="3"/>
        <v>N</v>
      </c>
      <c r="X8" s="4" t="str">
        <f t="shared" si="4"/>
        <v>N</v>
      </c>
      <c r="Y8" s="4" t="s">
        <v>32</v>
      </c>
      <c r="Z8" s="4" t="s">
        <v>62</v>
      </c>
      <c r="AA8" s="4" t="s">
        <v>61</v>
      </c>
      <c r="AB8" s="4" t="s">
        <v>50</v>
      </c>
      <c r="AC8" s="4"/>
      <c r="AD8" s="4"/>
      <c r="AE8" s="4" t="s">
        <v>28</v>
      </c>
      <c r="AF8" s="4"/>
      <c r="AG8" s="19" t="s">
        <v>63</v>
      </c>
    </row>
    <row r="9" spans="1:33" ht="45" x14ac:dyDescent="0.25">
      <c r="A9" s="17" t="s">
        <v>64</v>
      </c>
      <c r="B9" s="3" t="s">
        <v>244</v>
      </c>
      <c r="C9" s="3" t="s">
        <v>65</v>
      </c>
      <c r="D9" s="4" t="s">
        <v>245</v>
      </c>
      <c r="E9" s="26">
        <v>7515</v>
      </c>
      <c r="F9" s="26">
        <v>6853</v>
      </c>
      <c r="G9" s="26">
        <v>7190</v>
      </c>
      <c r="H9" s="26">
        <v>7853</v>
      </c>
      <c r="I9" s="26">
        <v>9301</v>
      </c>
      <c r="J9" s="42"/>
      <c r="K9" s="42"/>
      <c r="L9" s="28"/>
      <c r="M9" s="28" t="s">
        <v>69</v>
      </c>
      <c r="N9" s="28"/>
      <c r="O9" s="28"/>
      <c r="P9" s="4" t="s">
        <v>19</v>
      </c>
      <c r="Q9" s="4" t="s">
        <v>258</v>
      </c>
      <c r="R9" s="4" t="s">
        <v>66</v>
      </c>
      <c r="S9" s="4" t="s">
        <v>246</v>
      </c>
      <c r="T9" s="4" t="str">
        <f t="shared" si="0"/>
        <v>N</v>
      </c>
      <c r="U9" s="4" t="str">
        <f t="shared" si="1"/>
        <v>N</v>
      </c>
      <c r="V9" s="4" t="str">
        <f t="shared" si="2"/>
        <v>Y</v>
      </c>
      <c r="W9" s="4" t="str">
        <f t="shared" si="3"/>
        <v>N</v>
      </c>
      <c r="X9" s="4" t="str">
        <f t="shared" si="4"/>
        <v>Y</v>
      </c>
      <c r="Y9" s="4" t="s">
        <v>24</v>
      </c>
      <c r="Z9" s="4" t="s">
        <v>67</v>
      </c>
      <c r="AA9" s="4" t="s">
        <v>49</v>
      </c>
      <c r="AB9" s="4" t="s">
        <v>50</v>
      </c>
      <c r="AC9" s="4"/>
      <c r="AD9" s="4"/>
      <c r="AE9" s="4" t="s">
        <v>28</v>
      </c>
      <c r="AF9" s="4"/>
      <c r="AG9" s="19" t="s">
        <v>70</v>
      </c>
    </row>
    <row r="10" spans="1:33" ht="45" x14ac:dyDescent="0.25">
      <c r="A10" s="17" t="s">
        <v>71</v>
      </c>
      <c r="B10" s="3" t="s">
        <v>244</v>
      </c>
      <c r="C10" s="3" t="s">
        <v>72</v>
      </c>
      <c r="D10" s="4" t="s">
        <v>245</v>
      </c>
      <c r="E10" s="26">
        <v>15458</v>
      </c>
      <c r="F10" s="26">
        <v>13884</v>
      </c>
      <c r="G10" s="26">
        <v>14134</v>
      </c>
      <c r="H10" s="26">
        <v>16152</v>
      </c>
      <c r="I10" s="26">
        <v>17089</v>
      </c>
      <c r="J10" s="42"/>
      <c r="K10" s="42"/>
      <c r="L10" s="28"/>
      <c r="M10" s="28" t="s">
        <v>69</v>
      </c>
      <c r="N10" s="28"/>
      <c r="O10" s="28"/>
      <c r="P10" s="4" t="s">
        <v>19</v>
      </c>
      <c r="Q10" s="4" t="s">
        <v>258</v>
      </c>
      <c r="R10" s="4" t="s">
        <v>73</v>
      </c>
      <c r="S10" s="4" t="s">
        <v>246</v>
      </c>
      <c r="T10" s="4" t="str">
        <f t="shared" si="0"/>
        <v>N</v>
      </c>
      <c r="U10" s="4" t="str">
        <f t="shared" si="1"/>
        <v>N</v>
      </c>
      <c r="V10" s="4" t="str">
        <f t="shared" si="2"/>
        <v>Y</v>
      </c>
      <c r="W10" s="4" t="str">
        <f t="shared" si="3"/>
        <v>N</v>
      </c>
      <c r="X10" s="4" t="str">
        <f t="shared" si="4"/>
        <v>Y</v>
      </c>
      <c r="Y10" s="4" t="s">
        <v>24</v>
      </c>
      <c r="Z10" s="4" t="s">
        <v>74</v>
      </c>
      <c r="AA10" s="4" t="s">
        <v>49</v>
      </c>
      <c r="AB10" s="4" t="s">
        <v>50</v>
      </c>
      <c r="AC10" s="4"/>
      <c r="AD10" s="4"/>
      <c r="AE10" s="4" t="s">
        <v>28</v>
      </c>
      <c r="AF10" s="4"/>
      <c r="AG10" s="19" t="s">
        <v>75</v>
      </c>
    </row>
    <row r="11" spans="1:33" ht="45" x14ac:dyDescent="0.25">
      <c r="A11" s="17" t="s">
        <v>76</v>
      </c>
      <c r="B11" s="3" t="s">
        <v>244</v>
      </c>
      <c r="C11" s="3" t="s">
        <v>263</v>
      </c>
      <c r="D11" s="4" t="s">
        <v>245</v>
      </c>
      <c r="E11" s="26">
        <v>1619</v>
      </c>
      <c r="F11" s="26">
        <v>1243</v>
      </c>
      <c r="G11" s="26">
        <v>566</v>
      </c>
      <c r="H11" s="26">
        <v>588</v>
      </c>
      <c r="I11" s="26">
        <v>625</v>
      </c>
      <c r="J11" s="42"/>
      <c r="K11" s="42"/>
      <c r="L11" s="29"/>
      <c r="M11" s="29"/>
      <c r="N11" s="28"/>
      <c r="O11" s="28"/>
      <c r="P11" s="4" t="s">
        <v>19</v>
      </c>
      <c r="Q11" s="4" t="s">
        <v>258</v>
      </c>
      <c r="R11" s="4" t="s">
        <v>77</v>
      </c>
      <c r="S11" s="4" t="s">
        <v>34</v>
      </c>
      <c r="T11" s="4" t="str">
        <f t="shared" si="0"/>
        <v>N</v>
      </c>
      <c r="U11" s="4" t="str">
        <f t="shared" si="1"/>
        <v>N</v>
      </c>
      <c r="V11" s="4" t="str">
        <f t="shared" si="2"/>
        <v>Y</v>
      </c>
      <c r="W11" s="4" t="str">
        <f t="shared" si="3"/>
        <v>N</v>
      </c>
      <c r="X11" s="4" t="str">
        <f t="shared" si="4"/>
        <v>N</v>
      </c>
      <c r="Y11" s="4" t="s">
        <v>24</v>
      </c>
      <c r="Z11" s="4" t="s">
        <v>78</v>
      </c>
      <c r="AA11" s="4" t="s">
        <v>61</v>
      </c>
      <c r="AB11" s="4" t="s">
        <v>50</v>
      </c>
      <c r="AC11" s="4"/>
      <c r="AD11" s="4"/>
      <c r="AE11" s="4" t="s">
        <v>28</v>
      </c>
      <c r="AF11" s="4"/>
      <c r="AG11" s="19" t="s">
        <v>79</v>
      </c>
    </row>
    <row r="12" spans="1:33" ht="30" x14ac:dyDescent="0.25">
      <c r="A12" s="17" t="s">
        <v>80</v>
      </c>
      <c r="B12" s="3" t="s">
        <v>244</v>
      </c>
      <c r="C12" s="3" t="s">
        <v>82</v>
      </c>
      <c r="D12" s="4" t="s">
        <v>310</v>
      </c>
      <c r="E12" s="39">
        <v>0.81299999999999994</v>
      </c>
      <c r="F12" s="39">
        <v>0.754</v>
      </c>
      <c r="G12" s="35">
        <v>0.78200000000000003</v>
      </c>
      <c r="H12" s="35">
        <v>0.81299999999999994</v>
      </c>
      <c r="I12" s="35">
        <v>0.82</v>
      </c>
      <c r="J12" s="35">
        <v>0.88200000000000001</v>
      </c>
      <c r="K12" s="35"/>
      <c r="L12" s="29">
        <v>0.88200000000000001</v>
      </c>
      <c r="M12" s="29">
        <v>0.9</v>
      </c>
      <c r="N12" s="28"/>
      <c r="O12" s="28"/>
      <c r="P12" s="4" t="s">
        <v>81</v>
      </c>
      <c r="Q12" s="4" t="s">
        <v>83</v>
      </c>
      <c r="R12" s="4" t="s">
        <v>21</v>
      </c>
      <c r="S12" s="4"/>
      <c r="T12" s="4" t="str">
        <f t="shared" si="0"/>
        <v>N</v>
      </c>
      <c r="U12" s="4" t="str">
        <f t="shared" si="1"/>
        <v>N</v>
      </c>
      <c r="V12" s="4" t="str">
        <f t="shared" si="2"/>
        <v>N</v>
      </c>
      <c r="W12" s="4" t="str">
        <f t="shared" si="3"/>
        <v>N</v>
      </c>
      <c r="X12" s="4" t="str">
        <f t="shared" si="4"/>
        <v>N</v>
      </c>
      <c r="Y12" s="4" t="s">
        <v>86</v>
      </c>
      <c r="Z12" s="4" t="s">
        <v>87</v>
      </c>
      <c r="AA12" s="4" t="s">
        <v>84</v>
      </c>
      <c r="AB12" s="4" t="s">
        <v>85</v>
      </c>
      <c r="AC12" s="4"/>
      <c r="AD12" s="4"/>
      <c r="AE12" s="4" t="s">
        <v>88</v>
      </c>
      <c r="AF12" s="4"/>
      <c r="AG12" s="19" t="s">
        <v>89</v>
      </c>
    </row>
    <row r="13" spans="1:33" ht="30" x14ac:dyDescent="0.25">
      <c r="A13" s="17" t="s">
        <v>90</v>
      </c>
      <c r="B13" s="3" t="s">
        <v>244</v>
      </c>
      <c r="C13" s="3" t="s">
        <v>91</v>
      </c>
      <c r="D13" s="4" t="s">
        <v>310</v>
      </c>
      <c r="E13" s="38">
        <v>13.41</v>
      </c>
      <c r="F13" s="38">
        <v>12.13</v>
      </c>
      <c r="G13" s="15">
        <v>12.53</v>
      </c>
      <c r="H13" s="15">
        <v>13.14</v>
      </c>
      <c r="I13" s="15">
        <v>13.16</v>
      </c>
      <c r="J13" s="15">
        <v>14.09</v>
      </c>
      <c r="K13" s="15"/>
      <c r="L13" s="28">
        <v>14.09</v>
      </c>
      <c r="M13" s="45">
        <v>15</v>
      </c>
      <c r="N13" s="28"/>
      <c r="O13" s="28"/>
      <c r="P13" s="4" t="s">
        <v>81</v>
      </c>
      <c r="Q13" s="4" t="s">
        <v>83</v>
      </c>
      <c r="R13" s="4" t="s">
        <v>21</v>
      </c>
      <c r="S13" s="4"/>
      <c r="T13" s="4" t="str">
        <f t="shared" si="0"/>
        <v>N</v>
      </c>
      <c r="U13" s="4" t="str">
        <f t="shared" si="1"/>
        <v>N</v>
      </c>
      <c r="V13" s="4" t="str">
        <f t="shared" si="2"/>
        <v>N</v>
      </c>
      <c r="W13" s="4" t="str">
        <f t="shared" si="3"/>
        <v>N</v>
      </c>
      <c r="X13" s="4" t="str">
        <f t="shared" si="4"/>
        <v>N</v>
      </c>
      <c r="Y13" s="4" t="s">
        <v>92</v>
      </c>
      <c r="Z13" s="4" t="s">
        <v>93</v>
      </c>
      <c r="AA13" s="4" t="s">
        <v>84</v>
      </c>
      <c r="AB13" s="4" t="s">
        <v>85</v>
      </c>
      <c r="AC13" s="4"/>
      <c r="AD13" s="4"/>
      <c r="AE13" s="4" t="s">
        <v>88</v>
      </c>
      <c r="AF13" s="4"/>
      <c r="AG13" s="19" t="s">
        <v>94</v>
      </c>
    </row>
    <row r="14" spans="1:33" x14ac:dyDescent="0.25">
      <c r="A14" s="17" t="s">
        <v>95</v>
      </c>
      <c r="B14" s="3" t="s">
        <v>244</v>
      </c>
      <c r="C14" s="3" t="s">
        <v>96</v>
      </c>
      <c r="D14" s="4" t="s">
        <v>310</v>
      </c>
      <c r="E14" s="40">
        <v>0.96099999999999997</v>
      </c>
      <c r="F14" s="40">
        <v>0.82099999999999995</v>
      </c>
      <c r="G14" s="36">
        <v>0.76</v>
      </c>
      <c r="H14" s="36">
        <v>0.7</v>
      </c>
      <c r="I14" s="36">
        <v>0.69</v>
      </c>
      <c r="J14" s="40">
        <v>0.62</v>
      </c>
      <c r="K14" s="40"/>
      <c r="L14" s="28"/>
      <c r="M14" s="28"/>
      <c r="N14" s="28"/>
      <c r="O14" s="28"/>
      <c r="P14" s="4" t="s">
        <v>81</v>
      </c>
      <c r="Q14" s="4" t="s">
        <v>97</v>
      </c>
      <c r="R14" s="4" t="s">
        <v>98</v>
      </c>
      <c r="S14" s="4"/>
      <c r="T14" s="4" t="str">
        <f t="shared" si="0"/>
        <v>N</v>
      </c>
      <c r="U14" s="4" t="str">
        <f t="shared" si="1"/>
        <v>N</v>
      </c>
      <c r="V14" s="4" t="str">
        <f t="shared" si="2"/>
        <v>N</v>
      </c>
      <c r="W14" s="4" t="str">
        <f t="shared" si="3"/>
        <v>N</v>
      </c>
      <c r="X14" s="4" t="str">
        <f t="shared" si="4"/>
        <v>N</v>
      </c>
      <c r="Y14" s="4" t="s">
        <v>86</v>
      </c>
      <c r="Z14" s="4" t="s">
        <v>101</v>
      </c>
      <c r="AA14" s="4" t="s">
        <v>99</v>
      </c>
      <c r="AB14" s="4" t="s">
        <v>100</v>
      </c>
      <c r="AC14" s="4"/>
      <c r="AD14" s="4"/>
      <c r="AE14" s="4" t="s">
        <v>88</v>
      </c>
      <c r="AF14" s="4"/>
      <c r="AG14" s="19" t="s">
        <v>102</v>
      </c>
    </row>
    <row r="15" spans="1:33" ht="30" x14ac:dyDescent="0.25">
      <c r="A15" s="17" t="s">
        <v>103</v>
      </c>
      <c r="B15" s="3" t="s">
        <v>244</v>
      </c>
      <c r="C15" s="3" t="s">
        <v>104</v>
      </c>
      <c r="D15" s="4" t="s">
        <v>310</v>
      </c>
      <c r="E15" s="40">
        <v>3.1E-2</v>
      </c>
      <c r="F15" s="40">
        <v>9.0999999999999998E-2</v>
      </c>
      <c r="G15" s="36">
        <v>0.24</v>
      </c>
      <c r="H15" s="36">
        <v>0.3</v>
      </c>
      <c r="I15" s="36">
        <v>0.31</v>
      </c>
      <c r="J15" s="40">
        <v>0.31</v>
      </c>
      <c r="K15" s="40"/>
      <c r="L15" s="29"/>
      <c r="M15" s="29"/>
      <c r="N15" s="29"/>
      <c r="O15" s="29"/>
      <c r="P15" s="4" t="s">
        <v>81</v>
      </c>
      <c r="Q15" s="4" t="s">
        <v>97</v>
      </c>
      <c r="R15" s="4" t="s">
        <v>105</v>
      </c>
      <c r="S15" s="4"/>
      <c r="T15" s="4" t="str">
        <f t="shared" si="0"/>
        <v>N</v>
      </c>
      <c r="U15" s="4" t="str">
        <f t="shared" si="1"/>
        <v>N</v>
      </c>
      <c r="V15" s="4" t="str">
        <f t="shared" si="2"/>
        <v>N</v>
      </c>
      <c r="W15" s="4" t="str">
        <f t="shared" si="3"/>
        <v>N</v>
      </c>
      <c r="X15" s="4" t="str">
        <f t="shared" si="4"/>
        <v>N</v>
      </c>
      <c r="Y15" s="4" t="s">
        <v>86</v>
      </c>
      <c r="Z15" s="4" t="s">
        <v>106</v>
      </c>
      <c r="AA15" s="4" t="s">
        <v>99</v>
      </c>
      <c r="AB15" s="4" t="s">
        <v>100</v>
      </c>
      <c r="AC15" s="4"/>
      <c r="AD15" s="4"/>
      <c r="AE15" s="4" t="s">
        <v>88</v>
      </c>
      <c r="AF15" s="4"/>
      <c r="AG15" s="19" t="s">
        <v>107</v>
      </c>
    </row>
    <row r="16" spans="1:33" ht="75" x14ac:dyDescent="0.25">
      <c r="A16" s="17" t="s">
        <v>108</v>
      </c>
      <c r="B16" s="3" t="s">
        <v>300</v>
      </c>
      <c r="C16" s="3" t="s">
        <v>109</v>
      </c>
      <c r="D16" s="4" t="s">
        <v>311</v>
      </c>
      <c r="E16" s="36">
        <v>0.70199999999999996</v>
      </c>
      <c r="F16" s="36">
        <v>0.67</v>
      </c>
      <c r="G16" s="36">
        <v>0.67300000000000004</v>
      </c>
      <c r="H16" s="36">
        <v>0.71099999999999997</v>
      </c>
      <c r="I16" s="36">
        <v>0.74099999999999999</v>
      </c>
      <c r="J16" s="36">
        <v>0.76080000000000003</v>
      </c>
      <c r="K16" s="36"/>
      <c r="L16" s="29">
        <v>0.76080000000000003</v>
      </c>
      <c r="M16" s="29">
        <v>0.8</v>
      </c>
      <c r="N16" s="29">
        <v>0.74099999999999999</v>
      </c>
      <c r="O16" s="29">
        <v>0.8</v>
      </c>
      <c r="P16" s="4" t="s">
        <v>256</v>
      </c>
      <c r="Q16" s="4" t="s">
        <v>110</v>
      </c>
      <c r="R16" s="4" t="s">
        <v>21</v>
      </c>
      <c r="S16" s="4" t="s">
        <v>113</v>
      </c>
      <c r="T16" s="4" t="str">
        <f t="shared" si="0"/>
        <v>Y</v>
      </c>
      <c r="U16" s="4" t="str">
        <f t="shared" si="1"/>
        <v>N</v>
      </c>
      <c r="V16" s="4" t="str">
        <f t="shared" si="2"/>
        <v>N</v>
      </c>
      <c r="W16" s="4" t="str">
        <f t="shared" si="3"/>
        <v>N</v>
      </c>
      <c r="X16" s="4" t="str">
        <f t="shared" si="4"/>
        <v>N</v>
      </c>
      <c r="Y16" s="4" t="s">
        <v>86</v>
      </c>
      <c r="Z16" s="4" t="s">
        <v>112</v>
      </c>
      <c r="AA16" s="4" t="s">
        <v>99</v>
      </c>
      <c r="AB16" s="4" t="s">
        <v>100</v>
      </c>
      <c r="AC16" s="4" t="s">
        <v>295</v>
      </c>
      <c r="AD16" s="4" t="s">
        <v>111</v>
      </c>
      <c r="AE16" s="4" t="s">
        <v>88</v>
      </c>
      <c r="AF16" s="4" t="s">
        <v>26</v>
      </c>
      <c r="AG16" s="19" t="s">
        <v>114</v>
      </c>
    </row>
    <row r="17" spans="1:33" ht="45" x14ac:dyDescent="0.25">
      <c r="A17" s="17" t="s">
        <v>115</v>
      </c>
      <c r="B17" s="3" t="s">
        <v>244</v>
      </c>
      <c r="C17" s="3" t="s">
        <v>116</v>
      </c>
      <c r="D17" s="4" t="s">
        <v>311</v>
      </c>
      <c r="E17" s="40">
        <v>0.91500000000000004</v>
      </c>
      <c r="F17" s="40">
        <v>0.78500000000000003</v>
      </c>
      <c r="G17" s="40">
        <v>0.753</v>
      </c>
      <c r="H17" s="40">
        <v>0.74299999999999999</v>
      </c>
      <c r="I17" s="36">
        <v>0.753</v>
      </c>
      <c r="J17" s="51">
        <v>0.76500000000000001</v>
      </c>
      <c r="K17" s="51"/>
      <c r="L17" s="29">
        <v>0.76100000000000001</v>
      </c>
      <c r="M17" s="29">
        <v>0.8</v>
      </c>
      <c r="N17" s="28"/>
      <c r="O17" s="28"/>
      <c r="P17" s="4" t="s">
        <v>256</v>
      </c>
      <c r="Q17" s="4" t="s">
        <v>110</v>
      </c>
      <c r="R17" s="4" t="s">
        <v>117</v>
      </c>
      <c r="S17" s="4" t="s">
        <v>113</v>
      </c>
      <c r="T17" s="4" t="str">
        <f t="shared" si="0"/>
        <v>Y</v>
      </c>
      <c r="U17" s="4" t="str">
        <f t="shared" si="1"/>
        <v>N</v>
      </c>
      <c r="V17" s="4" t="str">
        <f t="shared" si="2"/>
        <v>N</v>
      </c>
      <c r="W17" s="4" t="str">
        <f t="shared" si="3"/>
        <v>N</v>
      </c>
      <c r="X17" s="4" t="str">
        <f t="shared" si="4"/>
        <v>N</v>
      </c>
      <c r="Y17" s="4" t="s">
        <v>86</v>
      </c>
      <c r="Z17" s="4" t="s">
        <v>118</v>
      </c>
      <c r="AA17" s="4" t="s">
        <v>99</v>
      </c>
      <c r="AB17" s="4" t="s">
        <v>100</v>
      </c>
      <c r="AC17" s="4"/>
      <c r="AD17" s="4"/>
      <c r="AE17" s="4" t="s">
        <v>88</v>
      </c>
      <c r="AF17" s="4" t="s">
        <v>26</v>
      </c>
      <c r="AG17" s="19" t="s">
        <v>119</v>
      </c>
    </row>
    <row r="18" spans="1:33" ht="30" x14ac:dyDescent="0.25">
      <c r="A18" s="17" t="s">
        <v>120</v>
      </c>
      <c r="B18" s="3" t="s">
        <v>244</v>
      </c>
      <c r="C18" s="3" t="s">
        <v>121</v>
      </c>
      <c r="D18" s="4" t="s">
        <v>311</v>
      </c>
      <c r="E18" s="40">
        <v>0.69799999999999995</v>
      </c>
      <c r="F18" s="40">
        <v>0.65600000000000003</v>
      </c>
      <c r="G18" s="40">
        <v>0.65100000000000002</v>
      </c>
      <c r="H18" s="40">
        <v>0.69899999999999995</v>
      </c>
      <c r="I18" s="36">
        <v>0.73699999999999999</v>
      </c>
      <c r="J18" s="40">
        <v>0.75900000000000001</v>
      </c>
      <c r="K18" s="40"/>
      <c r="L18" s="28"/>
      <c r="M18" s="28"/>
      <c r="N18" s="28"/>
      <c r="O18" s="28"/>
      <c r="P18" s="4" t="s">
        <v>256</v>
      </c>
      <c r="Q18" s="4" t="s">
        <v>110</v>
      </c>
      <c r="R18" s="4" t="s">
        <v>98</v>
      </c>
      <c r="S18" s="4"/>
      <c r="T18" s="4" t="str">
        <f t="shared" si="0"/>
        <v>N</v>
      </c>
      <c r="U18" s="4" t="str">
        <f t="shared" si="1"/>
        <v>N</v>
      </c>
      <c r="V18" s="4" t="str">
        <f t="shared" si="2"/>
        <v>N</v>
      </c>
      <c r="W18" s="4" t="str">
        <f t="shared" si="3"/>
        <v>N</v>
      </c>
      <c r="X18" s="4" t="str">
        <f t="shared" si="4"/>
        <v>N</v>
      </c>
      <c r="Y18" s="4" t="s">
        <v>86</v>
      </c>
      <c r="Z18" s="4" t="s">
        <v>122</v>
      </c>
      <c r="AA18" s="4" t="s">
        <v>99</v>
      </c>
      <c r="AB18" s="4" t="s">
        <v>100</v>
      </c>
      <c r="AC18" s="4"/>
      <c r="AD18" s="4"/>
      <c r="AE18" s="4" t="s">
        <v>88</v>
      </c>
      <c r="AF18" s="4" t="s">
        <v>26</v>
      </c>
      <c r="AG18" s="19" t="s">
        <v>123</v>
      </c>
    </row>
    <row r="19" spans="1:33" ht="90" x14ac:dyDescent="0.25">
      <c r="A19" s="60" t="s">
        <v>301</v>
      </c>
      <c r="B19" s="61" t="s">
        <v>300</v>
      </c>
      <c r="C19" s="61" t="s">
        <v>264</v>
      </c>
      <c r="D19" s="62" t="s">
        <v>312</v>
      </c>
      <c r="E19" s="36">
        <v>0.68100000000000005</v>
      </c>
      <c r="F19" s="36">
        <v>0.64300000000000002</v>
      </c>
      <c r="G19" s="36">
        <v>0.66600000000000004</v>
      </c>
      <c r="H19" s="36">
        <v>0.66200000000000003</v>
      </c>
      <c r="I19" s="36">
        <v>0.67800000000000005</v>
      </c>
      <c r="J19" s="36">
        <v>0.68200000000000005</v>
      </c>
      <c r="K19" s="36"/>
      <c r="L19" s="29">
        <v>0.68200000000000005</v>
      </c>
      <c r="M19" s="29">
        <v>0.73</v>
      </c>
      <c r="N19" s="28"/>
      <c r="O19" s="28"/>
      <c r="P19" s="4" t="s">
        <v>256</v>
      </c>
      <c r="Q19" s="4" t="s">
        <v>124</v>
      </c>
      <c r="R19" s="4" t="s">
        <v>21</v>
      </c>
      <c r="S19" s="4" t="s">
        <v>126</v>
      </c>
      <c r="T19" s="4" t="str">
        <f t="shared" si="0"/>
        <v>N</v>
      </c>
      <c r="U19" s="4" t="str">
        <f t="shared" si="1"/>
        <v>N</v>
      </c>
      <c r="V19" s="4" t="str">
        <f t="shared" si="2"/>
        <v>N</v>
      </c>
      <c r="W19" s="4" t="str">
        <f t="shared" si="3"/>
        <v>Y</v>
      </c>
      <c r="X19" s="4" t="str">
        <f t="shared" si="4"/>
        <v>N</v>
      </c>
      <c r="Y19" s="4" t="s">
        <v>86</v>
      </c>
      <c r="Z19" s="4" t="s">
        <v>265</v>
      </c>
      <c r="AA19" s="4" t="s">
        <v>84</v>
      </c>
      <c r="AB19" s="4" t="s">
        <v>100</v>
      </c>
      <c r="AC19" s="4"/>
      <c r="AD19" s="4"/>
      <c r="AE19" s="4" t="s">
        <v>88</v>
      </c>
      <c r="AF19" s="4" t="s">
        <v>26</v>
      </c>
      <c r="AG19" s="19" t="s">
        <v>266</v>
      </c>
    </row>
    <row r="20" spans="1:33" ht="75" x14ac:dyDescent="0.25">
      <c r="A20" s="17" t="s">
        <v>127</v>
      </c>
      <c r="B20" s="3" t="s">
        <v>244</v>
      </c>
      <c r="C20" s="3" t="s">
        <v>129</v>
      </c>
      <c r="D20" s="4" t="s">
        <v>133</v>
      </c>
      <c r="E20" s="36">
        <v>0.73899999999999999</v>
      </c>
      <c r="F20" s="36">
        <v>0.67200000000000004</v>
      </c>
      <c r="G20" s="36">
        <v>0.59799999999999998</v>
      </c>
      <c r="H20" s="36">
        <v>0.57799999999999996</v>
      </c>
      <c r="I20" s="36">
        <v>0.59599999999999997</v>
      </c>
      <c r="J20" s="36">
        <v>0.626</v>
      </c>
      <c r="K20" s="36"/>
      <c r="L20" s="29">
        <v>0.626</v>
      </c>
      <c r="M20" s="28"/>
      <c r="N20" s="28"/>
      <c r="O20" s="28"/>
      <c r="P20" s="4" t="s">
        <v>128</v>
      </c>
      <c r="Q20" s="4" t="s">
        <v>130</v>
      </c>
      <c r="R20" s="4" t="s">
        <v>131</v>
      </c>
      <c r="S20" s="4"/>
      <c r="T20" s="4" t="str">
        <f t="shared" si="0"/>
        <v>N</v>
      </c>
      <c r="U20" s="4" t="str">
        <f t="shared" si="1"/>
        <v>N</v>
      </c>
      <c r="V20" s="4" t="str">
        <f t="shared" si="2"/>
        <v>N</v>
      </c>
      <c r="W20" s="4" t="str">
        <f t="shared" si="3"/>
        <v>N</v>
      </c>
      <c r="X20" s="4" t="str">
        <f t="shared" si="4"/>
        <v>N</v>
      </c>
      <c r="Y20" s="4" t="s">
        <v>86</v>
      </c>
      <c r="Z20" s="4" t="s">
        <v>132</v>
      </c>
      <c r="AA20" s="4" t="s">
        <v>84</v>
      </c>
      <c r="AB20" s="4" t="s">
        <v>100</v>
      </c>
      <c r="AC20" s="4"/>
      <c r="AD20" s="4"/>
      <c r="AE20" s="4" t="s">
        <v>134</v>
      </c>
      <c r="AF20" s="4"/>
      <c r="AG20" s="19" t="s">
        <v>135</v>
      </c>
    </row>
    <row r="21" spans="1:33" ht="75" x14ac:dyDescent="0.25">
      <c r="A21" s="17" t="s">
        <v>136</v>
      </c>
      <c r="B21" s="3" t="s">
        <v>160</v>
      </c>
      <c r="C21" s="4" t="s">
        <v>137</v>
      </c>
      <c r="D21" s="4" t="s">
        <v>142</v>
      </c>
      <c r="E21" s="26">
        <v>897</v>
      </c>
      <c r="F21" s="26">
        <v>839</v>
      </c>
      <c r="G21" s="26">
        <v>1085</v>
      </c>
      <c r="H21" s="26">
        <v>1087</v>
      </c>
      <c r="I21" s="42">
        <v>1292</v>
      </c>
      <c r="J21" s="15"/>
      <c r="K21" s="56">
        <v>46317</v>
      </c>
      <c r="L21" s="28"/>
      <c r="M21" s="28"/>
      <c r="N21" s="46">
        <v>0.15</v>
      </c>
      <c r="O21" s="46">
        <v>0.2</v>
      </c>
      <c r="P21" s="4" t="s">
        <v>128</v>
      </c>
      <c r="Q21" s="4" t="s">
        <v>138</v>
      </c>
      <c r="R21" s="4" t="s">
        <v>139</v>
      </c>
      <c r="S21" s="4" t="s">
        <v>246</v>
      </c>
      <c r="T21" s="4" t="str">
        <f t="shared" si="0"/>
        <v>N</v>
      </c>
      <c r="U21" s="4" t="str">
        <f t="shared" si="1"/>
        <v>N</v>
      </c>
      <c r="V21" s="4" t="str">
        <f t="shared" si="2"/>
        <v>Y</v>
      </c>
      <c r="W21" s="4" t="str">
        <f t="shared" si="3"/>
        <v>N</v>
      </c>
      <c r="X21" s="4" t="str">
        <f t="shared" si="4"/>
        <v>Y</v>
      </c>
      <c r="Y21" s="4" t="s">
        <v>140</v>
      </c>
      <c r="Z21" s="4" t="s">
        <v>141</v>
      </c>
      <c r="AA21" s="4"/>
      <c r="AB21" s="4"/>
      <c r="AC21" s="4" t="s">
        <v>295</v>
      </c>
      <c r="AD21" s="4" t="s">
        <v>111</v>
      </c>
      <c r="AE21" s="4" t="s">
        <v>143</v>
      </c>
      <c r="AF21" s="4" t="s">
        <v>26</v>
      </c>
      <c r="AG21" s="19" t="s">
        <v>144</v>
      </c>
    </row>
    <row r="22" spans="1:33" ht="75" x14ac:dyDescent="0.25">
      <c r="A22" s="17" t="s">
        <v>145</v>
      </c>
      <c r="B22" s="3" t="s">
        <v>160</v>
      </c>
      <c r="C22" s="4" t="s">
        <v>146</v>
      </c>
      <c r="D22" s="4" t="s">
        <v>149</v>
      </c>
      <c r="E22" s="26">
        <v>1874</v>
      </c>
      <c r="F22" s="26">
        <v>1929</v>
      </c>
      <c r="G22" s="26">
        <v>2056</v>
      </c>
      <c r="H22" s="26">
        <v>2435</v>
      </c>
      <c r="I22" s="42">
        <v>2713</v>
      </c>
      <c r="J22" s="15"/>
      <c r="K22" s="56">
        <v>46317</v>
      </c>
      <c r="L22" s="28"/>
      <c r="M22" s="28"/>
      <c r="N22" s="46">
        <v>0.31</v>
      </c>
      <c r="O22" s="46">
        <v>0.35</v>
      </c>
      <c r="P22" s="4" t="s">
        <v>128</v>
      </c>
      <c r="Q22" s="4" t="s">
        <v>138</v>
      </c>
      <c r="R22" s="4" t="s">
        <v>147</v>
      </c>
      <c r="S22" s="4" t="s">
        <v>246</v>
      </c>
      <c r="T22" s="4" t="str">
        <f t="shared" si="0"/>
        <v>N</v>
      </c>
      <c r="U22" s="4" t="str">
        <f t="shared" si="1"/>
        <v>N</v>
      </c>
      <c r="V22" s="4" t="str">
        <f t="shared" si="2"/>
        <v>Y</v>
      </c>
      <c r="W22" s="4" t="str">
        <f t="shared" si="3"/>
        <v>N</v>
      </c>
      <c r="X22" s="4" t="str">
        <f t="shared" si="4"/>
        <v>Y</v>
      </c>
      <c r="Y22" s="4" t="s">
        <v>140</v>
      </c>
      <c r="Z22" s="4" t="s">
        <v>148</v>
      </c>
      <c r="AA22" s="4"/>
      <c r="AB22" s="4"/>
      <c r="AC22" s="4" t="s">
        <v>295</v>
      </c>
      <c r="AD22" s="4" t="s">
        <v>111</v>
      </c>
      <c r="AE22" s="4" t="s">
        <v>143</v>
      </c>
      <c r="AF22" s="4" t="s">
        <v>26</v>
      </c>
      <c r="AG22" s="19" t="s">
        <v>150</v>
      </c>
    </row>
    <row r="23" spans="1:33" ht="120" x14ac:dyDescent="0.25">
      <c r="A23" s="18" t="s">
        <v>318</v>
      </c>
      <c r="B23" s="5" t="s">
        <v>244</v>
      </c>
      <c r="C23" s="58" t="s">
        <v>151</v>
      </c>
      <c r="D23" s="44" t="s">
        <v>317</v>
      </c>
      <c r="E23" s="42"/>
      <c r="F23" s="42"/>
      <c r="G23" s="26">
        <v>925</v>
      </c>
      <c r="H23" s="26">
        <v>895</v>
      </c>
      <c r="I23" s="26">
        <v>902</v>
      </c>
      <c r="J23" s="26"/>
      <c r="K23" s="56"/>
      <c r="L23" s="28"/>
      <c r="M23" s="28"/>
      <c r="N23" s="28"/>
      <c r="O23" s="28"/>
      <c r="P23" s="4" t="s">
        <v>128</v>
      </c>
      <c r="Q23" s="4" t="s">
        <v>138</v>
      </c>
      <c r="R23" s="4" t="s">
        <v>152</v>
      </c>
      <c r="S23" s="4" t="s">
        <v>34</v>
      </c>
      <c r="T23" s="4" t="str">
        <f t="shared" si="0"/>
        <v>N</v>
      </c>
      <c r="U23" s="4" t="str">
        <f t="shared" si="1"/>
        <v>N</v>
      </c>
      <c r="V23" s="4" t="str">
        <f t="shared" si="2"/>
        <v>Y</v>
      </c>
      <c r="W23" s="4" t="str">
        <f t="shared" si="3"/>
        <v>N</v>
      </c>
      <c r="X23" s="4" t="str">
        <f t="shared" si="4"/>
        <v>N</v>
      </c>
      <c r="Y23" s="4" t="s">
        <v>24</v>
      </c>
      <c r="Z23" s="4" t="s">
        <v>153</v>
      </c>
      <c r="AA23" s="4" t="s">
        <v>99</v>
      </c>
      <c r="AB23" s="4" t="s">
        <v>100</v>
      </c>
      <c r="AC23" s="4"/>
      <c r="AD23" s="4"/>
      <c r="AE23" s="4" t="s">
        <v>143</v>
      </c>
      <c r="AF23" s="4"/>
      <c r="AG23" s="19" t="s">
        <v>154</v>
      </c>
    </row>
    <row r="24" spans="1:33" ht="120" x14ac:dyDescent="0.25">
      <c r="A24" s="18" t="s">
        <v>319</v>
      </c>
      <c r="B24" s="5" t="s">
        <v>244</v>
      </c>
      <c r="C24" s="58" t="s">
        <v>151</v>
      </c>
      <c r="D24" s="44" t="s">
        <v>320</v>
      </c>
      <c r="E24" s="42">
        <v>593</v>
      </c>
      <c r="F24" s="42">
        <v>524</v>
      </c>
      <c r="G24" s="42">
        <v>589</v>
      </c>
      <c r="H24" s="42">
        <v>633</v>
      </c>
      <c r="I24" s="42">
        <v>728</v>
      </c>
      <c r="J24" s="26"/>
      <c r="K24" s="56">
        <v>46317</v>
      </c>
      <c r="L24" s="28"/>
      <c r="M24" s="28"/>
      <c r="N24" s="28"/>
      <c r="O24" s="28"/>
      <c r="P24" s="4" t="s">
        <v>128</v>
      </c>
      <c r="Q24" s="4" t="s">
        <v>138</v>
      </c>
      <c r="R24" s="4" t="s">
        <v>152</v>
      </c>
      <c r="S24" s="4" t="s">
        <v>34</v>
      </c>
      <c r="T24" s="4" t="str">
        <f t="shared" si="0"/>
        <v>N</v>
      </c>
      <c r="U24" s="4" t="str">
        <f t="shared" si="1"/>
        <v>N</v>
      </c>
      <c r="V24" s="4" t="str">
        <f t="shared" si="2"/>
        <v>Y</v>
      </c>
      <c r="W24" s="4" t="str">
        <f t="shared" si="3"/>
        <v>N</v>
      </c>
      <c r="X24" s="4" t="str">
        <f t="shared" si="4"/>
        <v>N</v>
      </c>
      <c r="Y24" s="4" t="s">
        <v>24</v>
      </c>
      <c r="Z24" s="4" t="s">
        <v>153</v>
      </c>
      <c r="AA24" s="4" t="s">
        <v>99</v>
      </c>
      <c r="AB24" s="4" t="s">
        <v>100</v>
      </c>
      <c r="AC24" s="4"/>
      <c r="AD24" s="4"/>
      <c r="AE24" s="4" t="s">
        <v>143</v>
      </c>
      <c r="AF24" s="4"/>
      <c r="AG24" s="19" t="s">
        <v>154</v>
      </c>
    </row>
    <row r="25" spans="1:33" ht="45" x14ac:dyDescent="0.25">
      <c r="A25" s="17" t="s">
        <v>155</v>
      </c>
      <c r="B25" s="3" t="s">
        <v>160</v>
      </c>
      <c r="C25" s="3" t="s">
        <v>157</v>
      </c>
      <c r="D25" s="4" t="s">
        <v>164</v>
      </c>
      <c r="E25" s="38">
        <v>2780</v>
      </c>
      <c r="F25" s="38">
        <v>2625</v>
      </c>
      <c r="G25" s="38">
        <v>2464</v>
      </c>
      <c r="H25" s="38">
        <v>2185</v>
      </c>
      <c r="I25" s="52">
        <v>2651</v>
      </c>
      <c r="J25" s="15"/>
      <c r="K25" s="15"/>
      <c r="L25" s="28"/>
      <c r="M25" s="28"/>
      <c r="N25" s="28">
        <v>2077</v>
      </c>
      <c r="O25" s="28">
        <v>3264</v>
      </c>
      <c r="P25" s="4" t="s">
        <v>156</v>
      </c>
      <c r="Q25" s="4" t="s">
        <v>158</v>
      </c>
      <c r="R25" s="4" t="s">
        <v>159</v>
      </c>
      <c r="S25" s="4" t="s">
        <v>247</v>
      </c>
      <c r="T25" s="4" t="str">
        <f t="shared" si="0"/>
        <v>Y</v>
      </c>
      <c r="U25" s="4" t="str">
        <f t="shared" si="1"/>
        <v>N</v>
      </c>
      <c r="V25" s="4" t="str">
        <f t="shared" si="2"/>
        <v>Y</v>
      </c>
      <c r="W25" s="4" t="str">
        <f t="shared" si="3"/>
        <v>N</v>
      </c>
      <c r="X25" s="4" t="str">
        <f t="shared" si="4"/>
        <v>Y</v>
      </c>
      <c r="Y25" s="4" t="s">
        <v>162</v>
      </c>
      <c r="Z25" s="4" t="s">
        <v>163</v>
      </c>
      <c r="AA25" s="4"/>
      <c r="AB25" s="4"/>
      <c r="AC25" s="4" t="s">
        <v>295</v>
      </c>
      <c r="AD25" s="4" t="s">
        <v>161</v>
      </c>
      <c r="AE25" s="4" t="s">
        <v>165</v>
      </c>
      <c r="AF25" s="4" t="s">
        <v>26</v>
      </c>
      <c r="AG25" s="19" t="s">
        <v>166</v>
      </c>
    </row>
    <row r="26" spans="1:33" ht="90" x14ac:dyDescent="0.25">
      <c r="A26" s="18" t="s">
        <v>267</v>
      </c>
      <c r="B26" s="5" t="s">
        <v>244</v>
      </c>
      <c r="C26" s="5" t="s">
        <v>306</v>
      </c>
      <c r="D26" s="44" t="s">
        <v>245</v>
      </c>
      <c r="E26" s="27">
        <v>1283</v>
      </c>
      <c r="F26" s="27">
        <v>1123</v>
      </c>
      <c r="G26" s="27">
        <v>1115</v>
      </c>
      <c r="H26" s="27">
        <v>1088</v>
      </c>
      <c r="I26" s="27">
        <v>1375</v>
      </c>
      <c r="J26" s="27"/>
      <c r="K26" s="27"/>
      <c r="L26" s="28"/>
      <c r="M26" s="28"/>
      <c r="N26" s="28"/>
      <c r="O26" s="28"/>
      <c r="P26" s="4" t="s">
        <v>156</v>
      </c>
      <c r="Q26" s="4" t="s">
        <v>158</v>
      </c>
      <c r="R26" s="4" t="s">
        <v>268</v>
      </c>
      <c r="S26" s="4" t="s">
        <v>248</v>
      </c>
      <c r="T26" s="4" t="str">
        <f t="shared" si="0"/>
        <v>Y</v>
      </c>
      <c r="U26" s="4" t="str">
        <f t="shared" si="1"/>
        <v>Y</v>
      </c>
      <c r="V26" s="4" t="str">
        <f t="shared" si="2"/>
        <v>Y</v>
      </c>
      <c r="W26" s="4" t="str">
        <f t="shared" si="3"/>
        <v>Y</v>
      </c>
      <c r="X26" s="4" t="str">
        <f t="shared" si="4"/>
        <v>Y</v>
      </c>
      <c r="Y26" s="4" t="s">
        <v>162</v>
      </c>
      <c r="Z26" s="4" t="s">
        <v>269</v>
      </c>
      <c r="AA26" s="4" t="s">
        <v>84</v>
      </c>
      <c r="AB26" s="4" t="s">
        <v>167</v>
      </c>
      <c r="AC26" s="4"/>
      <c r="AD26" s="4"/>
      <c r="AE26" s="4" t="s">
        <v>165</v>
      </c>
      <c r="AF26" s="4" t="s">
        <v>26</v>
      </c>
      <c r="AG26" s="19" t="s">
        <v>270</v>
      </c>
    </row>
    <row r="27" spans="1:33" ht="60" x14ac:dyDescent="0.25">
      <c r="A27" s="18" t="s">
        <v>271</v>
      </c>
      <c r="B27" s="5" t="s">
        <v>160</v>
      </c>
      <c r="C27" s="5" t="s">
        <v>290</v>
      </c>
      <c r="D27" s="44" t="s">
        <v>164</v>
      </c>
      <c r="E27" s="38">
        <v>1469</v>
      </c>
      <c r="F27" s="38">
        <v>1323</v>
      </c>
      <c r="G27" s="38">
        <v>1321</v>
      </c>
      <c r="H27" s="38">
        <v>1178</v>
      </c>
      <c r="I27" s="27">
        <v>1486</v>
      </c>
      <c r="J27" s="16"/>
      <c r="K27" s="16"/>
      <c r="L27" s="28"/>
      <c r="M27" s="28"/>
      <c r="N27" s="28">
        <v>1486</v>
      </c>
      <c r="O27" s="28">
        <v>1620</v>
      </c>
      <c r="P27" s="4" t="s">
        <v>156</v>
      </c>
      <c r="Q27" s="4" t="s">
        <v>158</v>
      </c>
      <c r="R27" s="4" t="s">
        <v>272</v>
      </c>
      <c r="S27" s="4" t="s">
        <v>248</v>
      </c>
      <c r="T27" s="4" t="str">
        <f t="shared" si="0"/>
        <v>Y</v>
      </c>
      <c r="U27" s="4" t="str">
        <f t="shared" si="1"/>
        <v>Y</v>
      </c>
      <c r="V27" s="4" t="str">
        <f t="shared" si="2"/>
        <v>Y</v>
      </c>
      <c r="W27" s="4" t="str">
        <f t="shared" si="3"/>
        <v>Y</v>
      </c>
      <c r="X27" s="4" t="str">
        <f t="shared" si="4"/>
        <v>Y</v>
      </c>
      <c r="Y27" s="4" t="s">
        <v>162</v>
      </c>
      <c r="Z27" s="4" t="s">
        <v>273</v>
      </c>
      <c r="AA27" s="4"/>
      <c r="AB27" s="4"/>
      <c r="AC27" s="4" t="s">
        <v>295</v>
      </c>
      <c r="AD27" s="4" t="s">
        <v>161</v>
      </c>
      <c r="AE27" s="4" t="s">
        <v>165</v>
      </c>
      <c r="AF27" s="4" t="s">
        <v>26</v>
      </c>
      <c r="AG27" s="19" t="s">
        <v>274</v>
      </c>
    </row>
    <row r="28" spans="1:33" ht="75" x14ac:dyDescent="0.25">
      <c r="A28" s="17" t="s">
        <v>168</v>
      </c>
      <c r="B28" s="3" t="s">
        <v>244</v>
      </c>
      <c r="C28" s="3" t="s">
        <v>169</v>
      </c>
      <c r="D28" s="4" t="s">
        <v>68</v>
      </c>
      <c r="E28" s="26">
        <v>812</v>
      </c>
      <c r="F28" s="26">
        <v>728</v>
      </c>
      <c r="G28" s="26">
        <v>573</v>
      </c>
      <c r="H28" s="26">
        <v>523</v>
      </c>
      <c r="I28" s="26">
        <v>544</v>
      </c>
      <c r="J28" s="26"/>
      <c r="K28" s="26"/>
      <c r="L28" s="28"/>
      <c r="M28" s="28"/>
      <c r="N28" s="28"/>
      <c r="O28" s="28"/>
      <c r="P28" s="4" t="s">
        <v>156</v>
      </c>
      <c r="Q28" s="4" t="s">
        <v>158</v>
      </c>
      <c r="R28" s="4" t="s">
        <v>170</v>
      </c>
      <c r="S28" s="4" t="s">
        <v>248</v>
      </c>
      <c r="T28" s="4" t="str">
        <f t="shared" si="0"/>
        <v>Y</v>
      </c>
      <c r="U28" s="4" t="str">
        <f t="shared" si="1"/>
        <v>Y</v>
      </c>
      <c r="V28" s="4" t="str">
        <f t="shared" si="2"/>
        <v>Y</v>
      </c>
      <c r="W28" s="4" t="str">
        <f t="shared" si="3"/>
        <v>Y</v>
      </c>
      <c r="X28" s="4" t="str">
        <f t="shared" si="4"/>
        <v>Y</v>
      </c>
      <c r="Y28" s="4" t="s">
        <v>162</v>
      </c>
      <c r="Z28" s="4" t="s">
        <v>171</v>
      </c>
      <c r="AA28" s="4" t="s">
        <v>84</v>
      </c>
      <c r="AB28" s="4" t="s">
        <v>167</v>
      </c>
      <c r="AC28" s="4"/>
      <c r="AD28" s="4"/>
      <c r="AE28" s="4" t="s">
        <v>165</v>
      </c>
      <c r="AF28" s="4" t="s">
        <v>26</v>
      </c>
      <c r="AG28" s="19" t="s">
        <v>172</v>
      </c>
    </row>
    <row r="29" spans="1:33" ht="75" x14ac:dyDescent="0.25">
      <c r="A29" s="18" t="s">
        <v>275</v>
      </c>
      <c r="B29" s="5" t="s">
        <v>244</v>
      </c>
      <c r="C29" s="5" t="s">
        <v>291</v>
      </c>
      <c r="D29" s="44" t="s">
        <v>245</v>
      </c>
      <c r="E29" s="26">
        <v>187</v>
      </c>
      <c r="F29" s="26">
        <v>220</v>
      </c>
      <c r="G29" s="26">
        <v>217</v>
      </c>
      <c r="H29" s="26">
        <v>280</v>
      </c>
      <c r="I29" s="26">
        <v>329</v>
      </c>
      <c r="J29" s="26"/>
      <c r="K29" s="26"/>
      <c r="L29" s="28"/>
      <c r="M29" s="28"/>
      <c r="N29" s="28"/>
      <c r="O29" s="28"/>
      <c r="P29" s="4" t="s">
        <v>156</v>
      </c>
      <c r="Q29" s="4" t="s">
        <v>158</v>
      </c>
      <c r="R29" s="4" t="s">
        <v>276</v>
      </c>
      <c r="S29" s="4" t="s">
        <v>248</v>
      </c>
      <c r="T29" s="4" t="str">
        <f t="shared" si="0"/>
        <v>Y</v>
      </c>
      <c r="U29" s="4" t="str">
        <f t="shared" si="1"/>
        <v>Y</v>
      </c>
      <c r="V29" s="4" t="str">
        <f t="shared" si="2"/>
        <v>Y</v>
      </c>
      <c r="W29" s="4" t="str">
        <f t="shared" si="3"/>
        <v>Y</v>
      </c>
      <c r="X29" s="4" t="str">
        <f t="shared" si="4"/>
        <v>Y</v>
      </c>
      <c r="Y29" s="4" t="s">
        <v>162</v>
      </c>
      <c r="Z29" s="4" t="s">
        <v>277</v>
      </c>
      <c r="AA29" s="4" t="s">
        <v>84</v>
      </c>
      <c r="AB29" s="4" t="s">
        <v>167</v>
      </c>
      <c r="AC29" s="4"/>
      <c r="AD29" s="4"/>
      <c r="AE29" s="4" t="s">
        <v>165</v>
      </c>
      <c r="AF29" s="4" t="s">
        <v>26</v>
      </c>
      <c r="AG29" s="19" t="s">
        <v>278</v>
      </c>
    </row>
    <row r="30" spans="1:33" ht="75" x14ac:dyDescent="0.25">
      <c r="A30" s="18" t="s">
        <v>279</v>
      </c>
      <c r="B30" s="5" t="s">
        <v>160</v>
      </c>
      <c r="C30" s="5" t="s">
        <v>305</v>
      </c>
      <c r="D30" s="44" t="s">
        <v>164</v>
      </c>
      <c r="E30" s="15">
        <v>1267</v>
      </c>
      <c r="F30" s="15">
        <v>1218</v>
      </c>
      <c r="G30" s="15">
        <v>1101</v>
      </c>
      <c r="H30" s="15">
        <v>818</v>
      </c>
      <c r="I30" s="26">
        <v>1003</v>
      </c>
      <c r="J30" s="15"/>
      <c r="K30" s="15"/>
      <c r="L30" s="28"/>
      <c r="M30" s="28"/>
      <c r="N30" s="28">
        <v>1003</v>
      </c>
      <c r="O30" s="28">
        <v>1200</v>
      </c>
      <c r="P30" s="4" t="s">
        <v>156</v>
      </c>
      <c r="Q30" s="4" t="s">
        <v>158</v>
      </c>
      <c r="R30" s="4" t="s">
        <v>280</v>
      </c>
      <c r="S30" s="4" t="s">
        <v>248</v>
      </c>
      <c r="T30" s="4" t="str">
        <f t="shared" si="0"/>
        <v>Y</v>
      </c>
      <c r="U30" s="4" t="str">
        <f t="shared" si="1"/>
        <v>Y</v>
      </c>
      <c r="V30" s="4" t="str">
        <f t="shared" si="2"/>
        <v>Y</v>
      </c>
      <c r="W30" s="4" t="str">
        <f t="shared" si="3"/>
        <v>Y</v>
      </c>
      <c r="X30" s="4" t="str">
        <f t="shared" si="4"/>
        <v>Y</v>
      </c>
      <c r="Y30" s="4" t="s">
        <v>162</v>
      </c>
      <c r="Z30" s="4" t="s">
        <v>281</v>
      </c>
      <c r="AA30" s="4"/>
      <c r="AB30" s="4"/>
      <c r="AC30" s="4" t="s">
        <v>295</v>
      </c>
      <c r="AD30" s="4" t="s">
        <v>161</v>
      </c>
      <c r="AE30" s="4" t="s">
        <v>165</v>
      </c>
      <c r="AF30" s="4" t="s">
        <v>26</v>
      </c>
      <c r="AG30" s="19" t="s">
        <v>282</v>
      </c>
    </row>
    <row r="31" spans="1:33" ht="105" x14ac:dyDescent="0.25">
      <c r="A31" s="17" t="s">
        <v>173</v>
      </c>
      <c r="B31" s="3" t="s">
        <v>300</v>
      </c>
      <c r="C31" s="4" t="s">
        <v>174</v>
      </c>
      <c r="D31" s="4" t="s">
        <v>314</v>
      </c>
      <c r="E31" s="43">
        <v>84.2</v>
      </c>
      <c r="F31" s="43">
        <v>83</v>
      </c>
      <c r="G31" s="54">
        <v>82.8</v>
      </c>
      <c r="H31" s="54">
        <v>81</v>
      </c>
      <c r="I31" s="32">
        <v>81</v>
      </c>
      <c r="J31" s="32"/>
      <c r="K31" s="56">
        <v>46317</v>
      </c>
      <c r="L31" s="28"/>
      <c r="M31" s="28"/>
      <c r="N31" s="47">
        <v>81</v>
      </c>
      <c r="O31" s="45">
        <v>76</v>
      </c>
      <c r="P31" s="4" t="s">
        <v>156</v>
      </c>
      <c r="Q31" s="4" t="s">
        <v>175</v>
      </c>
      <c r="R31" s="4" t="s">
        <v>176</v>
      </c>
      <c r="S31" s="4" t="s">
        <v>247</v>
      </c>
      <c r="T31" s="4" t="str">
        <f t="shared" si="0"/>
        <v>Y</v>
      </c>
      <c r="U31" s="4" t="str">
        <f t="shared" si="1"/>
        <v>N</v>
      </c>
      <c r="V31" s="4" t="str">
        <f t="shared" si="2"/>
        <v>Y</v>
      </c>
      <c r="W31" s="4" t="str">
        <f t="shared" si="3"/>
        <v>N</v>
      </c>
      <c r="X31" s="4" t="str">
        <f t="shared" si="4"/>
        <v>Y</v>
      </c>
      <c r="Y31" s="4" t="s">
        <v>177</v>
      </c>
      <c r="Z31" s="4" t="s">
        <v>178</v>
      </c>
      <c r="AA31" s="4" t="s">
        <v>84</v>
      </c>
      <c r="AB31" s="4" t="s">
        <v>167</v>
      </c>
      <c r="AC31" s="4" t="s">
        <v>295</v>
      </c>
      <c r="AD31" s="4" t="s">
        <v>125</v>
      </c>
      <c r="AE31" s="4" t="s">
        <v>165</v>
      </c>
      <c r="AF31" s="4" t="s">
        <v>26</v>
      </c>
      <c r="AG31" s="19" t="s">
        <v>179</v>
      </c>
    </row>
    <row r="32" spans="1:33" ht="105" x14ac:dyDescent="0.25">
      <c r="A32" s="17" t="s">
        <v>180</v>
      </c>
      <c r="B32" s="3" t="s">
        <v>244</v>
      </c>
      <c r="C32" s="4" t="s">
        <v>322</v>
      </c>
      <c r="D32" s="4" t="s">
        <v>323</v>
      </c>
      <c r="E32" s="43">
        <v>83.6</v>
      </c>
      <c r="F32" s="32">
        <v>81.400000000000006</v>
      </c>
      <c r="G32" s="32">
        <v>81.3</v>
      </c>
      <c r="H32" s="32">
        <v>79.8</v>
      </c>
      <c r="I32" s="32">
        <v>79.7</v>
      </c>
      <c r="J32" s="32"/>
      <c r="K32" s="56">
        <v>46317</v>
      </c>
      <c r="L32" s="28"/>
      <c r="M32" s="28">
        <v>77</v>
      </c>
      <c r="N32" s="47">
        <v>79</v>
      </c>
      <c r="O32" s="29"/>
      <c r="P32" s="4" t="s">
        <v>156</v>
      </c>
      <c r="Q32" s="4" t="s">
        <v>175</v>
      </c>
      <c r="R32" s="4" t="s">
        <v>181</v>
      </c>
      <c r="S32" s="4" t="s">
        <v>249</v>
      </c>
      <c r="T32" s="4" t="str">
        <f t="shared" si="0"/>
        <v>Y</v>
      </c>
      <c r="U32" s="4" t="str">
        <f t="shared" si="1"/>
        <v>N</v>
      </c>
      <c r="V32" s="4" t="str">
        <f t="shared" si="2"/>
        <v>N</v>
      </c>
      <c r="W32" s="4" t="str">
        <f t="shared" si="3"/>
        <v>N</v>
      </c>
      <c r="X32" s="4" t="str">
        <f t="shared" si="4"/>
        <v>Y</v>
      </c>
      <c r="Y32" s="4" t="s">
        <v>177</v>
      </c>
      <c r="Z32" s="4" t="s">
        <v>182</v>
      </c>
      <c r="AA32" s="4" t="s">
        <v>84</v>
      </c>
      <c r="AB32" s="4" t="s">
        <v>167</v>
      </c>
      <c r="AC32" s="4"/>
      <c r="AD32" s="4"/>
      <c r="AE32" s="4" t="s">
        <v>165</v>
      </c>
      <c r="AF32" s="4" t="s">
        <v>26</v>
      </c>
      <c r="AG32" s="19" t="s">
        <v>183</v>
      </c>
    </row>
    <row r="33" spans="1:33" ht="60" x14ac:dyDescent="0.25">
      <c r="A33" s="17" t="s">
        <v>184</v>
      </c>
      <c r="B33" s="3" t="s">
        <v>244</v>
      </c>
      <c r="C33" s="4" t="s">
        <v>185</v>
      </c>
      <c r="D33" s="4" t="s">
        <v>324</v>
      </c>
      <c r="E33" s="43">
        <v>86.4</v>
      </c>
      <c r="F33" s="43">
        <v>86.3</v>
      </c>
      <c r="G33" s="32">
        <v>87.6</v>
      </c>
      <c r="H33" s="32">
        <v>87</v>
      </c>
      <c r="I33" s="32">
        <v>89.4</v>
      </c>
      <c r="J33" s="32"/>
      <c r="K33" s="56">
        <v>46317</v>
      </c>
      <c r="L33" s="28"/>
      <c r="M33" s="28">
        <v>79</v>
      </c>
      <c r="N33" s="47">
        <v>89.4</v>
      </c>
      <c r="O33" s="29"/>
      <c r="P33" s="4" t="s">
        <v>156</v>
      </c>
      <c r="Q33" s="4" t="s">
        <v>175</v>
      </c>
      <c r="R33" s="4" t="s">
        <v>186</v>
      </c>
      <c r="S33" s="4"/>
      <c r="T33" s="4" t="str">
        <f t="shared" si="0"/>
        <v>N</v>
      </c>
      <c r="U33" s="4" t="str">
        <f t="shared" si="1"/>
        <v>N</v>
      </c>
      <c r="V33" s="4" t="str">
        <f t="shared" si="2"/>
        <v>N</v>
      </c>
      <c r="W33" s="4" t="str">
        <f t="shared" si="3"/>
        <v>N</v>
      </c>
      <c r="X33" s="4" t="str">
        <f t="shared" si="4"/>
        <v>N</v>
      </c>
      <c r="Y33" s="4" t="s">
        <v>177</v>
      </c>
      <c r="Z33" s="4" t="s">
        <v>187</v>
      </c>
      <c r="AA33" s="4" t="s">
        <v>84</v>
      </c>
      <c r="AB33" s="4" t="s">
        <v>167</v>
      </c>
      <c r="AC33" s="4"/>
      <c r="AD33" s="4"/>
      <c r="AE33" s="4" t="s">
        <v>165</v>
      </c>
      <c r="AF33" s="4"/>
      <c r="AG33" s="19" t="s">
        <v>188</v>
      </c>
    </row>
    <row r="34" spans="1:33" ht="75" x14ac:dyDescent="0.25">
      <c r="A34" s="18" t="s">
        <v>283</v>
      </c>
      <c r="B34" s="5" t="s">
        <v>244</v>
      </c>
      <c r="C34" s="5" t="s">
        <v>304</v>
      </c>
      <c r="D34" s="44" t="s">
        <v>245</v>
      </c>
      <c r="E34" s="26">
        <v>1062</v>
      </c>
      <c r="F34" s="26">
        <v>1104</v>
      </c>
      <c r="G34" s="26">
        <v>925</v>
      </c>
      <c r="H34" s="26">
        <v>895</v>
      </c>
      <c r="I34" s="26">
        <v>902</v>
      </c>
      <c r="J34" s="26"/>
      <c r="K34" s="26"/>
      <c r="L34" s="28"/>
      <c r="M34" s="28"/>
      <c r="N34" s="47">
        <v>902</v>
      </c>
      <c r="O34" s="29"/>
      <c r="P34" s="4" t="s">
        <v>189</v>
      </c>
      <c r="Q34" s="4" t="s">
        <v>190</v>
      </c>
      <c r="R34" s="4" t="s">
        <v>284</v>
      </c>
      <c r="S34" s="4" t="s">
        <v>248</v>
      </c>
      <c r="T34" s="4" t="str">
        <f t="shared" si="0"/>
        <v>Y</v>
      </c>
      <c r="U34" s="4" t="str">
        <f t="shared" si="1"/>
        <v>Y</v>
      </c>
      <c r="V34" s="4" t="str">
        <f t="shared" si="2"/>
        <v>Y</v>
      </c>
      <c r="W34" s="4" t="str">
        <f t="shared" si="3"/>
        <v>Y</v>
      </c>
      <c r="X34" s="4" t="str">
        <f t="shared" si="4"/>
        <v>Y</v>
      </c>
      <c r="Y34" s="4" t="s">
        <v>162</v>
      </c>
      <c r="Z34" s="4" t="s">
        <v>285</v>
      </c>
      <c r="AA34" s="4" t="s">
        <v>84</v>
      </c>
      <c r="AB34" s="4" t="s">
        <v>167</v>
      </c>
      <c r="AC34" s="4"/>
      <c r="AD34" s="4"/>
      <c r="AE34" s="4" t="s">
        <v>165</v>
      </c>
      <c r="AF34" s="4" t="s">
        <v>26</v>
      </c>
      <c r="AG34" s="19" t="s">
        <v>292</v>
      </c>
    </row>
    <row r="35" spans="1:33" ht="90" x14ac:dyDescent="0.25">
      <c r="A35" s="18" t="s">
        <v>286</v>
      </c>
      <c r="B35" s="5" t="s">
        <v>160</v>
      </c>
      <c r="C35" s="44" t="s">
        <v>303</v>
      </c>
      <c r="D35" s="44" t="s">
        <v>315</v>
      </c>
      <c r="E35" s="42">
        <v>2218</v>
      </c>
      <c r="F35" s="42">
        <v>2081</v>
      </c>
      <c r="G35" s="42">
        <v>1957</v>
      </c>
      <c r="H35" s="42">
        <v>2008</v>
      </c>
      <c r="I35" s="42"/>
      <c r="J35" s="15"/>
      <c r="K35" s="56">
        <v>46317</v>
      </c>
      <c r="L35" s="28"/>
      <c r="M35" s="28"/>
      <c r="N35" s="47">
        <v>2010</v>
      </c>
      <c r="O35" s="47">
        <v>2300</v>
      </c>
      <c r="P35" s="4" t="s">
        <v>189</v>
      </c>
      <c r="Q35" s="4" t="s">
        <v>190</v>
      </c>
      <c r="R35" s="4" t="s">
        <v>287</v>
      </c>
      <c r="S35" s="4" t="s">
        <v>248</v>
      </c>
      <c r="T35" s="4" t="str">
        <f t="shared" si="0"/>
        <v>Y</v>
      </c>
      <c r="U35" s="4" t="str">
        <f t="shared" si="1"/>
        <v>Y</v>
      </c>
      <c r="V35" s="4" t="str">
        <f t="shared" si="2"/>
        <v>Y</v>
      </c>
      <c r="W35" s="4" t="str">
        <f t="shared" si="3"/>
        <v>Y</v>
      </c>
      <c r="X35" s="4" t="str">
        <f t="shared" si="4"/>
        <v>Y</v>
      </c>
      <c r="Y35" s="4" t="s">
        <v>162</v>
      </c>
      <c r="Z35" s="4" t="s">
        <v>288</v>
      </c>
      <c r="AA35" s="4"/>
      <c r="AB35" s="4"/>
      <c r="AC35" s="4" t="s">
        <v>296</v>
      </c>
      <c r="AD35" s="4" t="s">
        <v>191</v>
      </c>
      <c r="AE35" s="4" t="s">
        <v>165</v>
      </c>
      <c r="AF35" s="4" t="s">
        <v>26</v>
      </c>
      <c r="AG35" s="19" t="s">
        <v>293</v>
      </c>
    </row>
    <row r="36" spans="1:33" ht="105" x14ac:dyDescent="0.25">
      <c r="A36" s="17" t="s">
        <v>192</v>
      </c>
      <c r="B36" s="3" t="s">
        <v>300</v>
      </c>
      <c r="C36" s="4" t="s">
        <v>194</v>
      </c>
      <c r="D36" s="4" t="s">
        <v>316</v>
      </c>
      <c r="E36" s="26">
        <v>2648</v>
      </c>
      <c r="F36" s="26">
        <v>2657</v>
      </c>
      <c r="G36" s="26">
        <v>2821</v>
      </c>
      <c r="H36" s="26">
        <v>3212</v>
      </c>
      <c r="I36" s="26">
        <v>3912</v>
      </c>
      <c r="J36" s="26"/>
      <c r="K36" s="56"/>
      <c r="L36" s="28"/>
      <c r="M36" s="28"/>
      <c r="N36" s="46">
        <v>0.13</v>
      </c>
      <c r="O36" s="46">
        <v>0.18</v>
      </c>
      <c r="P36" s="4" t="s">
        <v>193</v>
      </c>
      <c r="Q36" s="4" t="s">
        <v>195</v>
      </c>
      <c r="R36" s="4" t="s">
        <v>21</v>
      </c>
      <c r="S36" s="4" t="s">
        <v>250</v>
      </c>
      <c r="T36" s="4" t="str">
        <f t="shared" si="0"/>
        <v>N</v>
      </c>
      <c r="U36" s="4" t="str">
        <f t="shared" si="1"/>
        <v>Y</v>
      </c>
      <c r="V36" s="4" t="str">
        <f t="shared" si="2"/>
        <v>Y</v>
      </c>
      <c r="W36" s="4" t="str">
        <f t="shared" si="3"/>
        <v>N</v>
      </c>
      <c r="X36" s="4" t="str">
        <f t="shared" si="4"/>
        <v>N</v>
      </c>
      <c r="Y36" s="4" t="s">
        <v>197</v>
      </c>
      <c r="Z36" s="4" t="s">
        <v>198</v>
      </c>
      <c r="AA36" s="4" t="s">
        <v>84</v>
      </c>
      <c r="AB36" s="4" t="s">
        <v>167</v>
      </c>
      <c r="AC36" s="4" t="s">
        <v>298</v>
      </c>
      <c r="AD36" s="4" t="s">
        <v>196</v>
      </c>
      <c r="AE36" s="4" t="s">
        <v>165</v>
      </c>
      <c r="AF36" s="4" t="s">
        <v>26</v>
      </c>
      <c r="AG36" s="19" t="s">
        <v>199</v>
      </c>
    </row>
    <row r="37" spans="1:33" ht="75" x14ac:dyDescent="0.25">
      <c r="A37" s="17" t="s">
        <v>200</v>
      </c>
      <c r="B37" s="3" t="s">
        <v>160</v>
      </c>
      <c r="C37" s="4" t="s">
        <v>201</v>
      </c>
      <c r="D37" s="4" t="s">
        <v>321</v>
      </c>
      <c r="E37" s="26">
        <v>2581</v>
      </c>
      <c r="F37" s="26">
        <v>2357</v>
      </c>
      <c r="G37" s="26">
        <v>2179</v>
      </c>
      <c r="H37" s="26">
        <v>2282</v>
      </c>
      <c r="I37" s="42"/>
      <c r="J37" s="26"/>
      <c r="K37" s="56">
        <v>46317</v>
      </c>
      <c r="L37" s="28"/>
      <c r="M37" s="28"/>
      <c r="N37" s="46">
        <v>0.45</v>
      </c>
      <c r="O37" s="46">
        <v>0.56000000000000005</v>
      </c>
      <c r="P37" s="4" t="s">
        <v>193</v>
      </c>
      <c r="Q37" s="4" t="s">
        <v>202</v>
      </c>
      <c r="R37" s="4" t="s">
        <v>159</v>
      </c>
      <c r="S37" s="4" t="s">
        <v>251</v>
      </c>
      <c r="T37" s="4" t="str">
        <f t="shared" si="0"/>
        <v>N</v>
      </c>
      <c r="U37" s="4" t="str">
        <f t="shared" si="1"/>
        <v>Y</v>
      </c>
      <c r="V37" s="4" t="str">
        <f t="shared" si="2"/>
        <v>Y</v>
      </c>
      <c r="W37" s="4" t="str">
        <f t="shared" si="3"/>
        <v>N</v>
      </c>
      <c r="X37" s="4" t="str">
        <f t="shared" si="4"/>
        <v>Y</v>
      </c>
      <c r="Y37" s="4" t="s">
        <v>140</v>
      </c>
      <c r="Z37" s="4" t="s">
        <v>204</v>
      </c>
      <c r="AA37" s="4"/>
      <c r="AB37" s="4"/>
      <c r="AC37" s="4" t="s">
        <v>298</v>
      </c>
      <c r="AD37" s="4" t="s">
        <v>203</v>
      </c>
      <c r="AE37" s="4" t="s">
        <v>165</v>
      </c>
      <c r="AF37" s="4" t="s">
        <v>26</v>
      </c>
      <c r="AG37" s="19" t="s">
        <v>205</v>
      </c>
    </row>
    <row r="38" spans="1:33" ht="45" x14ac:dyDescent="0.25">
      <c r="A38" s="17" t="s">
        <v>206</v>
      </c>
      <c r="B38" s="3" t="s">
        <v>160</v>
      </c>
      <c r="C38" s="3" t="s">
        <v>207</v>
      </c>
      <c r="D38" s="4" t="s">
        <v>213</v>
      </c>
      <c r="E38" s="38"/>
      <c r="F38" s="38"/>
      <c r="G38" s="38"/>
      <c r="H38" s="38"/>
      <c r="I38" s="38"/>
      <c r="J38" s="37">
        <v>0.71</v>
      </c>
      <c r="K38" s="37"/>
      <c r="L38" s="28"/>
      <c r="M38" s="28"/>
      <c r="N38" s="46">
        <v>0.71</v>
      </c>
      <c r="O38" s="46">
        <v>0.8</v>
      </c>
      <c r="P38" s="4" t="s">
        <v>257</v>
      </c>
      <c r="Q38" s="4" t="s">
        <v>208</v>
      </c>
      <c r="R38" s="4" t="s">
        <v>209</v>
      </c>
      <c r="S38" s="4"/>
      <c r="T38" s="4" t="str">
        <f t="shared" si="0"/>
        <v>N</v>
      </c>
      <c r="U38" s="4" t="str">
        <f t="shared" si="1"/>
        <v>N</v>
      </c>
      <c r="V38" s="4" t="str">
        <f t="shared" si="2"/>
        <v>N</v>
      </c>
      <c r="W38" s="4" t="str">
        <f t="shared" si="3"/>
        <v>N</v>
      </c>
      <c r="X38" s="4" t="str">
        <f t="shared" si="4"/>
        <v>N</v>
      </c>
      <c r="Y38" s="4" t="s">
        <v>86</v>
      </c>
      <c r="Z38" s="4" t="s">
        <v>211</v>
      </c>
      <c r="AA38" s="4"/>
      <c r="AB38" s="4"/>
      <c r="AC38" s="4" t="s">
        <v>297</v>
      </c>
      <c r="AD38" s="4" t="s">
        <v>210</v>
      </c>
      <c r="AE38" s="4" t="s">
        <v>165</v>
      </c>
      <c r="AF38" s="4" t="s">
        <v>212</v>
      </c>
      <c r="AG38" s="19" t="s">
        <v>214</v>
      </c>
    </row>
    <row r="39" spans="1:33" ht="30" x14ac:dyDescent="0.25">
      <c r="A39" s="17" t="s">
        <v>215</v>
      </c>
      <c r="B39" s="3" t="s">
        <v>160</v>
      </c>
      <c r="C39" s="3" t="s">
        <v>216</v>
      </c>
      <c r="D39" s="4" t="s">
        <v>221</v>
      </c>
      <c r="E39" s="41"/>
      <c r="F39" s="41"/>
      <c r="G39" s="41"/>
      <c r="H39" s="41"/>
      <c r="I39" s="36">
        <v>0.29499999999999998</v>
      </c>
      <c r="J39" s="37"/>
      <c r="K39" s="37"/>
      <c r="L39" s="28"/>
      <c r="M39" s="28"/>
      <c r="N39" s="48">
        <v>0.29499999999999998</v>
      </c>
      <c r="O39" s="48">
        <v>0.35</v>
      </c>
      <c r="P39" s="4" t="s">
        <v>257</v>
      </c>
      <c r="Q39" s="4" t="s">
        <v>217</v>
      </c>
      <c r="R39" s="4" t="s">
        <v>218</v>
      </c>
      <c r="S39" s="4"/>
      <c r="T39" s="4" t="str">
        <f t="shared" si="0"/>
        <v>N</v>
      </c>
      <c r="U39" s="4" t="str">
        <f t="shared" si="1"/>
        <v>N</v>
      </c>
      <c r="V39" s="4" t="str">
        <f t="shared" si="2"/>
        <v>N</v>
      </c>
      <c r="W39" s="4" t="str">
        <f t="shared" si="3"/>
        <v>N</v>
      </c>
      <c r="X39" s="4" t="str">
        <f t="shared" si="4"/>
        <v>N</v>
      </c>
      <c r="Y39" s="4" t="s">
        <v>86</v>
      </c>
      <c r="Z39" s="4" t="s">
        <v>220</v>
      </c>
      <c r="AA39" s="4"/>
      <c r="AB39" s="4"/>
      <c r="AC39" s="4" t="s">
        <v>297</v>
      </c>
      <c r="AD39" s="4" t="s">
        <v>219</v>
      </c>
      <c r="AE39" s="4" t="s">
        <v>165</v>
      </c>
      <c r="AF39" s="4" t="s">
        <v>26</v>
      </c>
      <c r="AG39" s="19" t="s">
        <v>222</v>
      </c>
    </row>
    <row r="40" spans="1:33" ht="45" x14ac:dyDescent="0.25">
      <c r="A40" s="17" t="s">
        <v>223</v>
      </c>
      <c r="B40" s="3" t="s">
        <v>160</v>
      </c>
      <c r="C40" s="3" t="s">
        <v>224</v>
      </c>
      <c r="D40" s="4"/>
      <c r="E40" s="41"/>
      <c r="F40" s="41"/>
      <c r="G40" s="41"/>
      <c r="H40" s="41"/>
      <c r="I40" s="37">
        <v>0.49</v>
      </c>
      <c r="J40" s="37"/>
      <c r="K40" s="37"/>
      <c r="L40" s="28"/>
      <c r="M40" s="28"/>
      <c r="N40" s="46">
        <v>0.49</v>
      </c>
      <c r="O40" s="46">
        <v>0.55000000000000004</v>
      </c>
      <c r="P40" s="4" t="s">
        <v>257</v>
      </c>
      <c r="Q40" s="4" t="s">
        <v>217</v>
      </c>
      <c r="R40" s="4" t="s">
        <v>225</v>
      </c>
      <c r="S40" s="4"/>
      <c r="T40" s="4" t="str">
        <f t="shared" si="0"/>
        <v>N</v>
      </c>
      <c r="U40" s="4" t="str">
        <f t="shared" si="1"/>
        <v>N</v>
      </c>
      <c r="V40" s="4" t="str">
        <f t="shared" si="2"/>
        <v>N</v>
      </c>
      <c r="W40" s="4" t="str">
        <f t="shared" si="3"/>
        <v>N</v>
      </c>
      <c r="X40" s="4" t="str">
        <f t="shared" si="4"/>
        <v>N</v>
      </c>
      <c r="Y40" s="4" t="s">
        <v>86</v>
      </c>
      <c r="Z40" s="4" t="s">
        <v>227</v>
      </c>
      <c r="AA40" s="4"/>
      <c r="AB40" s="4"/>
      <c r="AC40" s="4" t="s">
        <v>297</v>
      </c>
      <c r="AD40" s="4" t="s">
        <v>226</v>
      </c>
      <c r="AE40" s="4" t="s">
        <v>165</v>
      </c>
      <c r="AF40" s="4" t="s">
        <v>228</v>
      </c>
      <c r="AG40" s="19" t="s">
        <v>229</v>
      </c>
    </row>
    <row r="41" spans="1:33" ht="30" x14ac:dyDescent="0.25">
      <c r="A41" s="17" t="s">
        <v>230</v>
      </c>
      <c r="B41" s="3" t="s">
        <v>160</v>
      </c>
      <c r="C41" s="3" t="s">
        <v>231</v>
      </c>
      <c r="D41" s="4"/>
      <c r="E41" s="42"/>
      <c r="F41" s="42"/>
      <c r="G41" s="42"/>
      <c r="H41" s="42"/>
      <c r="I41" s="26">
        <v>6859</v>
      </c>
      <c r="J41" s="26"/>
      <c r="K41" s="26"/>
      <c r="L41" s="28"/>
      <c r="M41" s="28"/>
      <c r="N41" s="28">
        <v>6859</v>
      </c>
      <c r="O41" s="28"/>
      <c r="P41" s="4" t="s">
        <v>257</v>
      </c>
      <c r="Q41" s="4" t="s">
        <v>232</v>
      </c>
      <c r="R41" s="4" t="s">
        <v>233</v>
      </c>
      <c r="S41" s="4"/>
      <c r="T41" s="4" t="str">
        <f t="shared" si="0"/>
        <v>N</v>
      </c>
      <c r="U41" s="4" t="str">
        <f t="shared" si="1"/>
        <v>N</v>
      </c>
      <c r="V41" s="4" t="str">
        <f t="shared" si="2"/>
        <v>N</v>
      </c>
      <c r="W41" s="4" t="str">
        <f t="shared" si="3"/>
        <v>N</v>
      </c>
      <c r="X41" s="4" t="str">
        <f t="shared" si="4"/>
        <v>N</v>
      </c>
      <c r="Y41" s="4" t="s">
        <v>234</v>
      </c>
      <c r="Z41" s="4" t="s">
        <v>235</v>
      </c>
      <c r="AA41" s="4"/>
      <c r="AB41" s="4"/>
      <c r="AC41" s="4" t="s">
        <v>297</v>
      </c>
      <c r="AD41" s="4" t="s">
        <v>226</v>
      </c>
      <c r="AE41" s="4" t="s">
        <v>143</v>
      </c>
      <c r="AF41" s="4" t="s">
        <v>228</v>
      </c>
      <c r="AG41" s="19" t="s">
        <v>222</v>
      </c>
    </row>
    <row r="42" spans="1:33" ht="45" x14ac:dyDescent="0.25">
      <c r="A42" s="17" t="s">
        <v>236</v>
      </c>
      <c r="B42" s="3" t="s">
        <v>160</v>
      </c>
      <c r="C42" s="3" t="s">
        <v>238</v>
      </c>
      <c r="D42" s="4" t="s">
        <v>242</v>
      </c>
      <c r="E42" s="41"/>
      <c r="F42" s="41"/>
      <c r="G42" s="41"/>
      <c r="H42" s="41"/>
      <c r="I42" s="33">
        <v>0.71299999999999997</v>
      </c>
      <c r="J42" s="33"/>
      <c r="K42" s="33"/>
      <c r="L42" s="28"/>
      <c r="M42" s="28"/>
      <c r="N42" s="28" t="s">
        <v>307</v>
      </c>
      <c r="O42" s="48">
        <v>0.75</v>
      </c>
      <c r="P42" s="4" t="s">
        <v>257</v>
      </c>
      <c r="Q42" s="4" t="s">
        <v>237</v>
      </c>
      <c r="R42" s="4" t="s">
        <v>239</v>
      </c>
      <c r="S42" s="4"/>
      <c r="T42" s="4" t="str">
        <f t="shared" si="0"/>
        <v>N</v>
      </c>
      <c r="U42" s="4" t="str">
        <f t="shared" si="1"/>
        <v>N</v>
      </c>
      <c r="V42" s="4" t="str">
        <f t="shared" si="2"/>
        <v>N</v>
      </c>
      <c r="W42" s="4" t="str">
        <f t="shared" si="3"/>
        <v>N</v>
      </c>
      <c r="X42" s="4" t="str">
        <f t="shared" si="4"/>
        <v>N</v>
      </c>
      <c r="Y42" s="4" t="s">
        <v>86</v>
      </c>
      <c r="Z42" s="4" t="s">
        <v>241</v>
      </c>
      <c r="AA42" s="4"/>
      <c r="AB42" s="4"/>
      <c r="AC42" s="4" t="s">
        <v>299</v>
      </c>
      <c r="AD42" s="4" t="s">
        <v>240</v>
      </c>
      <c r="AE42" s="4" t="s">
        <v>88</v>
      </c>
      <c r="AF42" s="4" t="s">
        <v>26</v>
      </c>
      <c r="AG42" s="19" t="s">
        <v>243</v>
      </c>
    </row>
    <row r="43" spans="1:33" x14ac:dyDescent="0.25">
      <c r="AB43" s="2"/>
    </row>
    <row r="44" spans="1:33" x14ac:dyDescent="0.25">
      <c r="AB44" s="2"/>
    </row>
    <row r="45" spans="1:33" x14ac:dyDescent="0.25">
      <c r="AB45" s="2"/>
    </row>
    <row r="46" spans="1:33" x14ac:dyDescent="0.25">
      <c r="AB46" s="2"/>
    </row>
    <row r="47" spans="1:33" x14ac:dyDescent="0.25">
      <c r="AB47" s="2"/>
    </row>
    <row r="48" spans="1:33" x14ac:dyDescent="0.25">
      <c r="AB48" s="2"/>
    </row>
  </sheetData>
  <phoneticPr fontId="18" type="noConversion"/>
  <conditionalFormatting sqref="C1:C1048576">
    <cfRule type="duplicateValues" dxfId="0" priority="1"/>
  </conditionalFormatting>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712D1-B1AC-4A4A-96F8-E273E2237416}">
  <dimension ref="A1:AG32"/>
  <sheetViews>
    <sheetView workbookViewId="0">
      <selection activeCell="B1" sqref="B1"/>
    </sheetView>
  </sheetViews>
  <sheetFormatPr defaultRowHeight="15" x14ac:dyDescent="0.25"/>
  <cols>
    <col min="1" max="1" width="13.5703125" style="9" bestFit="1" customWidth="1"/>
    <col min="2" max="2" width="67.140625" style="9" bestFit="1" customWidth="1"/>
    <col min="3" max="3" width="67.42578125" style="9" bestFit="1" customWidth="1"/>
    <col min="4" max="9" width="16" style="9" bestFit="1" customWidth="1"/>
    <col min="10" max="10" width="55.42578125" style="9" bestFit="1" customWidth="1"/>
    <col min="11" max="11" width="61.7109375" style="9" bestFit="1" customWidth="1"/>
    <col min="12" max="12" width="50.85546875" style="9" bestFit="1" customWidth="1"/>
    <col min="13" max="13" width="94.85546875" style="9" bestFit="1" customWidth="1"/>
    <col min="14" max="14" width="129.28515625" style="9" bestFit="1" customWidth="1"/>
    <col min="15" max="15" width="30.7109375" style="9" bestFit="1" customWidth="1"/>
    <col min="16" max="16" width="186.5703125" style="9" bestFit="1" customWidth="1"/>
    <col min="17" max="17" width="55.42578125" style="9" bestFit="1" customWidth="1"/>
    <col min="18" max="18" width="92.28515625" style="9" bestFit="1" customWidth="1"/>
    <col min="19" max="19" width="24.85546875" style="9" bestFit="1" customWidth="1"/>
    <col min="20" max="20" width="75" style="9" bestFit="1" customWidth="1"/>
    <col min="21" max="21" width="42.28515625" style="9" bestFit="1" customWidth="1"/>
    <col min="22" max="22" width="38.5703125" style="24" bestFit="1" customWidth="1"/>
    <col min="23" max="23" width="21.7109375" style="24" bestFit="1" customWidth="1"/>
    <col min="24" max="24" width="49.42578125" style="24" bestFit="1" customWidth="1"/>
    <col min="25" max="25" width="47.42578125" style="24" bestFit="1" customWidth="1"/>
    <col min="26" max="26" width="58.140625" style="9" bestFit="1" customWidth="1"/>
    <col min="27" max="27" width="226" style="10" bestFit="1" customWidth="1"/>
  </cols>
  <sheetData>
    <row r="1" spans="1:33" x14ac:dyDescent="0.25">
      <c r="A1" s="7" t="s">
        <v>261</v>
      </c>
      <c r="B1" s="8" t="s">
        <v>244</v>
      </c>
    </row>
    <row r="3" spans="1:33" s="13" customFormat="1" ht="18.75" x14ac:dyDescent="0.25">
      <c r="A3" s="11" t="str" cm="1">
        <f t="array" ref="A3:AG3">_xlfn._xlws.FILTER(Metrics_Master[#Headers], Metrics_Master[#Headers]&lt;&gt;"")</f>
        <v>Metric ID</v>
      </c>
      <c r="B3" s="11" t="str">
        <v>Included in Master Plan(s) (Values separated with ";")</v>
      </c>
      <c r="C3" s="11" t="str">
        <v>Unified Metric Name</v>
      </c>
      <c r="D3" s="11" t="str">
        <v>Data Source(s) (Values separated with ";")</v>
      </c>
      <c r="E3" s="11" t="str">
        <v>2020-2021</v>
      </c>
      <c r="F3" s="11" t="str">
        <v>2021-2022</v>
      </c>
      <c r="G3" s="11" t="str">
        <v>2022-2023</v>
      </c>
      <c r="H3" s="11" t="str">
        <v>2023-2024</v>
      </c>
      <c r="I3" s="11" t="str">
        <v>2024-2025</v>
      </c>
      <c r="J3" s="11" t="str">
        <v>2025-2026</v>
      </c>
      <c r="K3" s="11" t="str">
        <v>Date Pulled</v>
      </c>
      <c r="L3" s="11" t="str">
        <v>EMP Baseline (2025-2026 Yr 0)</v>
      </c>
      <c r="M3" s="11" t="str">
        <v>EMP Target Goal (By YYYY)</v>
      </c>
      <c r="N3" s="11" t="str">
        <v>Strategic Plan Baseline (2024-2025 Yr 0)</v>
      </c>
      <c r="O3" s="11" t="str">
        <v>Strategic Plan Target Goal (By 2030)</v>
      </c>
      <c r="P3" s="11" t="str">
        <v>Metric Category(s) (Values separated with ";")</v>
      </c>
      <c r="Q3" s="11" t="str">
        <v>Parent Metric / Group(s) (Values separated with ";")</v>
      </c>
      <c r="R3" s="11" t="str">
        <v>Disaggregation / Sub-Group</v>
      </c>
      <c r="S3" s="11" t="str">
        <v>Metric Trait(s) / Initiative Alignment (Values separated with ";")</v>
      </c>
      <c r="T3" s="11" t="str">
        <v>ACCJC Standards</v>
      </c>
      <c r="U3" s="11" t="str">
        <v>Strong Workforce</v>
      </c>
      <c r="V3" s="25" t="str">
        <v>Student Centered Funding Formula</v>
      </c>
      <c r="W3" s="25" t="str">
        <v>Student Equity &amp; Achievement</v>
      </c>
      <c r="X3" s="25" t="str">
        <v>Vision 2030</v>
      </c>
      <c r="Y3" s="25" t="str">
        <v>Metric Unit / Format</v>
      </c>
      <c r="Z3" s="11" t="str">
        <v>Metric Definition</v>
      </c>
      <c r="AA3" s="12" t="str">
        <v>EMP Plan Area(s) (Values separated with ";")</v>
      </c>
      <c r="AB3" s="13" t="str">
        <v>EMP Goal</v>
      </c>
      <c r="AC3" s="13" t="str">
        <v>Strategic Plan Goal</v>
      </c>
      <c r="AD3" s="13" t="str">
        <v>Strategic Plan Objective</v>
      </c>
      <c r="AE3" s="13" t="str">
        <v>Guided Pathways Alignment</v>
      </c>
      <c r="AF3" s="13" t="str">
        <v>Responsible Party(s) (Values separated with ";")</v>
      </c>
      <c r="AG3" s="13" t="str">
        <v>Notes &amp; Methodology Nuances</v>
      </c>
    </row>
    <row r="4" spans="1:33" x14ac:dyDescent="0.25">
      <c r="A4" s="9" t="str" cm="1">
        <f t="array" ref="A4:AG32">_xlfn._xlws.FILTER(Metrics_Master[], ISNUMBER(SEARCH(B1, Metrics_Master[Included in Master Plan(s) (Values separated with ";")])), "No records found")</f>
        <v>M-001</v>
      </c>
      <c r="B4" s="9" t="str">
        <v>Educational Master Plan</v>
      </c>
      <c r="C4" s="9" t="str">
        <v>Unduplicated Annual Headcount</v>
      </c>
      <c r="D4" s="9" t="str">
        <v>MIS Datamart</v>
      </c>
      <c r="E4" s="9">
        <v>28796</v>
      </c>
      <c r="F4" s="9">
        <v>28316</v>
      </c>
      <c r="G4" s="9">
        <v>30505</v>
      </c>
      <c r="H4" s="9">
        <v>33531</v>
      </c>
      <c r="I4" s="9">
        <v>36077</v>
      </c>
      <c r="J4" s="9">
        <v>36592</v>
      </c>
      <c r="K4" s="9">
        <v>0</v>
      </c>
      <c r="L4" s="9">
        <v>36592</v>
      </c>
      <c r="M4" s="9">
        <v>0</v>
      </c>
      <c r="N4" s="9">
        <v>0</v>
      </c>
      <c r="O4" s="9">
        <v>0</v>
      </c>
      <c r="P4" s="9" t="str">
        <v>Enrollment &amp; Access</v>
      </c>
      <c r="Q4" s="9" t="str">
        <v>Unduplicated Annual Headcount</v>
      </c>
      <c r="R4" s="9" t="str">
        <v>Total Districtwide</v>
      </c>
      <c r="S4" s="9">
        <v>0</v>
      </c>
      <c r="T4" s="9" t="str">
        <v>N</v>
      </c>
      <c r="U4" s="9" t="str">
        <v>N</v>
      </c>
      <c r="V4" s="24" t="str">
        <v>N</v>
      </c>
      <c r="W4" s="24" t="str">
        <v>N</v>
      </c>
      <c r="X4" s="24" t="str">
        <v>N</v>
      </c>
      <c r="Y4" s="24" t="str">
        <v>Count</v>
      </c>
      <c r="Z4" s="9" t="str">
        <v>Total unduplicated annual student headcount across the district.</v>
      </c>
      <c r="AA4" s="10" t="str">
        <v>Location</v>
      </c>
      <c r="AB4" t="str">
        <v>Goal 1: Expand Equitable Access and Enrollment Growth</v>
      </c>
      <c r="AC4">
        <v>0</v>
      </c>
      <c r="AD4">
        <v>0</v>
      </c>
      <c r="AE4" t="str">
        <v>Pillar I. Clarify the Path</v>
      </c>
      <c r="AF4" t="str">
        <v>Executive Director, Institutional Research</v>
      </c>
      <c r="AG4" t="str">
        <v>Overlaps between EMP Dashboard ('Unduplicated Annual Headcount', 2022-25 YoY +7.59%) and Ongoing Report Card ('Headcount', 2020-26).</v>
      </c>
    </row>
    <row r="5" spans="1:33" x14ac:dyDescent="0.25">
      <c r="A5" s="9" t="str">
        <v>M-002</v>
      </c>
      <c r="B5" s="9" t="str">
        <v>Educational Master Plan</v>
      </c>
      <c r="C5" s="9" t="str">
        <v>Full-Time Equivalent Students</v>
      </c>
      <c r="D5" s="9" t="str">
        <v>CCFS-320 Report</v>
      </c>
      <c r="E5" s="9">
        <v>14513.1</v>
      </c>
      <c r="F5" s="9">
        <v>13417.53</v>
      </c>
      <c r="G5" s="9">
        <v>14360.78</v>
      </c>
      <c r="H5" s="9">
        <v>15514.77</v>
      </c>
      <c r="I5" s="9">
        <v>17884.3</v>
      </c>
      <c r="J5" s="9">
        <v>18268.48</v>
      </c>
      <c r="K5" s="9">
        <v>0</v>
      </c>
      <c r="L5" s="9">
        <v>18268.48</v>
      </c>
      <c r="M5" s="9">
        <v>0</v>
      </c>
      <c r="N5" s="9">
        <v>0</v>
      </c>
      <c r="O5" s="9">
        <v>0</v>
      </c>
      <c r="P5" s="9" t="str">
        <v>Enrollment &amp; Access</v>
      </c>
      <c r="Q5" s="9" t="str">
        <v>Full-Time Equivalent Students (FTES)</v>
      </c>
      <c r="R5" s="9" t="str">
        <v>Total Districtwide</v>
      </c>
      <c r="S5" s="9" t="str">
        <v>Student Centered Funding Formula (SCFF)</v>
      </c>
      <c r="T5" s="9" t="str">
        <v>N</v>
      </c>
      <c r="U5" s="9" t="str">
        <v>N</v>
      </c>
      <c r="V5" s="24" t="str">
        <v>Y</v>
      </c>
      <c r="W5" s="24" t="str">
        <v>N</v>
      </c>
      <c r="X5" s="24" t="str">
        <v>N</v>
      </c>
      <c r="Y5" s="24" t="str">
        <v>Decimal (FTES)</v>
      </c>
      <c r="Z5" s="9" t="str">
        <v>Total Full-Time Equivalent Students (FTES) generated districtwide across the reporting year.</v>
      </c>
      <c r="AA5" s="10" t="str">
        <v>Location</v>
      </c>
      <c r="AB5" t="str">
        <v>Goal 1: Expand Equitable Access and Enrollment Growth</v>
      </c>
      <c r="AC5">
        <v>0</v>
      </c>
      <c r="AD5">
        <v>0</v>
      </c>
      <c r="AE5" t="str">
        <v>Pillar I. Clarify the Path</v>
      </c>
      <c r="AF5" t="str">
        <v>Executive Director, Institutional Research</v>
      </c>
      <c r="AG5" t="str">
        <v>Values in 2021-26 columns are from Report Card Main (CCFS-320 Report). 2025-26 baseline is 18,268.48. Distinct from EMP Dashboard internal calculation (see M-003b).</v>
      </c>
    </row>
    <row r="6" spans="1:33" x14ac:dyDescent="0.25">
      <c r="A6" s="9" t="str">
        <v>M-004</v>
      </c>
      <c r="B6" s="9" t="str">
        <v>Educational Master Plan</v>
      </c>
      <c r="C6" s="9" t="str">
        <v>Chino Campus FTES</v>
      </c>
      <c r="D6" s="9" t="str">
        <v>CCFS-320 Portal</v>
      </c>
      <c r="E6" s="9">
        <v>0</v>
      </c>
      <c r="F6" s="9">
        <v>0</v>
      </c>
      <c r="G6" s="9">
        <v>1683.81</v>
      </c>
      <c r="H6" s="9">
        <v>1279.95</v>
      </c>
      <c r="I6" s="9">
        <v>1233.7</v>
      </c>
      <c r="J6" s="9">
        <v>1367.6</v>
      </c>
      <c r="K6" s="9">
        <v>0</v>
      </c>
      <c r="L6" s="9">
        <v>1367.6</v>
      </c>
      <c r="M6" s="9" t="str">
        <v>Increase 1% per year</v>
      </c>
      <c r="N6" s="9">
        <v>0</v>
      </c>
      <c r="O6" s="9">
        <v>0</v>
      </c>
      <c r="P6" s="9" t="str">
        <v>Enrollment &amp; Access</v>
      </c>
      <c r="Q6" s="9" t="str">
        <v>Full-Time Equivalent Students (FTES)</v>
      </c>
      <c r="R6" s="9" t="str">
        <v>Location: Chino Campus</v>
      </c>
      <c r="S6" s="9" t="str">
        <v>Student Centered Funding Formula (SCFF)</v>
      </c>
      <c r="T6" s="9" t="str">
        <v>N</v>
      </c>
      <c r="U6" s="9" t="str">
        <v>N</v>
      </c>
      <c r="V6" s="24" t="str">
        <v>Y</v>
      </c>
      <c r="W6" s="24" t="str">
        <v>N</v>
      </c>
      <c r="X6" s="24" t="str">
        <v>N</v>
      </c>
      <c r="Y6" s="24" t="str">
        <v>Decimal (FTES)</v>
      </c>
      <c r="Z6" s="9" t="str">
        <v>FTES generated by sections whose location is coded as 'Chino Campus'.</v>
      </c>
      <c r="AA6" s="10" t="str">
        <v>Location</v>
      </c>
      <c r="AB6" t="str">
        <v>Goal 1: Expand Equitable Access and Enrollment Growth</v>
      </c>
      <c r="AC6">
        <v>0</v>
      </c>
      <c r="AD6">
        <v>0</v>
      </c>
      <c r="AE6" t="str">
        <v>Pillar I. Clarify the Path</v>
      </c>
      <c r="AF6">
        <v>0</v>
      </c>
      <c r="AG6" t="str">
        <v>Tracked in EMP Metrics and EMP Dashboard (2022-25 YoY -3.61%, 3-Yr Trend: Down; increased to 1,367.60 in 2025-26 baseline).</v>
      </c>
    </row>
    <row r="7" spans="1:33" x14ac:dyDescent="0.25">
      <c r="A7" s="9" t="str">
        <v>M-005</v>
      </c>
      <c r="B7" s="9" t="str">
        <v>Educational Master Plan</v>
      </c>
      <c r="C7" s="9" t="str">
        <v>Fontana Campus FTES</v>
      </c>
      <c r="D7" s="9" t="str">
        <v>CCFS-320 Portal</v>
      </c>
      <c r="E7" s="9">
        <v>0</v>
      </c>
      <c r="F7" s="9">
        <v>0</v>
      </c>
      <c r="G7" s="9">
        <v>1453.6</v>
      </c>
      <c r="H7" s="9">
        <v>1110.97</v>
      </c>
      <c r="I7" s="9">
        <v>1147.79</v>
      </c>
      <c r="J7" s="9">
        <v>1348.16</v>
      </c>
      <c r="K7" s="9">
        <v>0</v>
      </c>
      <c r="L7" s="9">
        <v>1348.16</v>
      </c>
      <c r="M7" s="9" t="str">
        <v>Increase 1% per year</v>
      </c>
      <c r="N7" s="9">
        <v>0</v>
      </c>
      <c r="O7" s="9">
        <v>0</v>
      </c>
      <c r="P7" s="9" t="str">
        <v>Enrollment &amp; Access</v>
      </c>
      <c r="Q7" s="9" t="str">
        <v>Full-Time Equivalent Students (FTES)</v>
      </c>
      <c r="R7" s="9" t="str">
        <v>Location: Fontana Campus</v>
      </c>
      <c r="S7" s="9" t="str">
        <v>Student Centered Funding Formula (SCFF)</v>
      </c>
      <c r="T7" s="9" t="str">
        <v>N</v>
      </c>
      <c r="U7" s="9" t="str">
        <v>N</v>
      </c>
      <c r="V7" s="24" t="str">
        <v>Y</v>
      </c>
      <c r="W7" s="24" t="str">
        <v>N</v>
      </c>
      <c r="X7" s="24" t="str">
        <v>N</v>
      </c>
      <c r="Y7" s="24" t="str">
        <v>Decimal (FTES)</v>
      </c>
      <c r="Z7" s="9" t="str">
        <v>FTES generated by the Fontana Campus whose section location is coded as 'Fontana Campus'.</v>
      </c>
      <c r="AA7" s="10" t="str">
        <v>Location</v>
      </c>
      <c r="AB7" t="str">
        <v>Goal 1: Expand Equitable Access and Enrollment Growth</v>
      </c>
      <c r="AC7">
        <v>0</v>
      </c>
      <c r="AD7">
        <v>0</v>
      </c>
      <c r="AE7" t="str">
        <v>Pillar I. Clarify the Path</v>
      </c>
      <c r="AF7">
        <v>0</v>
      </c>
      <c r="AG7" t="str">
        <v>Tracked in EMP Metrics and EMP Dashboard (2022-25 YoY +3.31%, 3-Yr Trend: Down; increased to 1,348.16 in 2025-26 baseline).</v>
      </c>
    </row>
    <row r="8" spans="1:33" x14ac:dyDescent="0.25">
      <c r="A8" s="9" t="str">
        <v>M-006</v>
      </c>
      <c r="B8" s="9" t="str">
        <v>Educational Master Plan</v>
      </c>
      <c r="C8" s="9" t="str">
        <v>K-12 Special Admit / Dual Enrollment FTES</v>
      </c>
      <c r="D8" s="9" t="str">
        <v>CCFS-320 Portal</v>
      </c>
      <c r="E8" s="9">
        <v>0</v>
      </c>
      <c r="F8" s="9">
        <v>0</v>
      </c>
      <c r="G8" s="9">
        <v>1199.52</v>
      </c>
      <c r="H8" s="9">
        <v>1482.93</v>
      </c>
      <c r="I8" s="9">
        <v>1220.21</v>
      </c>
      <c r="J8" s="9">
        <v>1802.11</v>
      </c>
      <c r="K8" s="9">
        <v>0</v>
      </c>
      <c r="L8" s="9">
        <v>1802.11</v>
      </c>
      <c r="M8" s="9">
        <v>0</v>
      </c>
      <c r="N8" s="9">
        <v>0</v>
      </c>
      <c r="O8" s="9">
        <v>0</v>
      </c>
      <c r="P8" s="9" t="str">
        <v>Enrollment &amp; Access</v>
      </c>
      <c r="Q8" s="9" t="str">
        <v>Full-Time Equivalent Students (FTES)</v>
      </c>
      <c r="R8" s="9" t="str">
        <v>SCFF Population: K-12 Dual Enrollment</v>
      </c>
      <c r="S8" s="9" t="str">
        <v>Student Centered Funding Formula (SCFF); Vision 2030</v>
      </c>
      <c r="T8" s="9" t="str">
        <v>N</v>
      </c>
      <c r="U8" s="9" t="str">
        <v>N</v>
      </c>
      <c r="V8" s="24" t="str">
        <v>Y</v>
      </c>
      <c r="W8" s="24" t="str">
        <v>N</v>
      </c>
      <c r="X8" s="24" t="str">
        <v>Y</v>
      </c>
      <c r="Y8" s="24" t="str">
        <v>Decimal (FTES)</v>
      </c>
      <c r="Z8" s="9" t="str">
        <v>Credit FTES generated by K-12 dual enrollment students in the reporting year.</v>
      </c>
      <c r="AA8" s="10" t="str">
        <v>SCFF Populations; Outreach &amp; Marketing</v>
      </c>
      <c r="AB8" t="str">
        <v>Goal 5: Expand equitable access, with intentional emphasis on historically underserved communities</v>
      </c>
      <c r="AC8">
        <v>0</v>
      </c>
      <c r="AD8">
        <v>0</v>
      </c>
      <c r="AE8" t="str">
        <v>Pillar I. Clarify the Path</v>
      </c>
      <c r="AF8">
        <v>0</v>
      </c>
      <c r="AG8" t="str">
        <v>Tracked in EMP Metrics and EMP Dashboard (rebounded to 1,802.11 in 2025-26 baseline). For headcount of Special Admit students, see M-096.</v>
      </c>
    </row>
    <row r="9" spans="1:33" x14ac:dyDescent="0.25">
      <c r="A9" s="9" t="str">
        <v>M-007</v>
      </c>
      <c r="B9" s="9" t="str">
        <v>Educational Master Plan</v>
      </c>
      <c r="C9" s="9" t="str">
        <v>Incarcerated Credit FTES</v>
      </c>
      <c r="D9" s="9" t="str">
        <v>CCFS-320 Portal</v>
      </c>
      <c r="E9" s="9">
        <v>0</v>
      </c>
      <c r="F9" s="9">
        <v>0</v>
      </c>
      <c r="G9" s="9">
        <v>56.76</v>
      </c>
      <c r="H9" s="9">
        <v>104.07</v>
      </c>
      <c r="I9" s="9">
        <v>106.81</v>
      </c>
      <c r="J9" s="9">
        <v>149.16999999999999</v>
      </c>
      <c r="K9" s="9">
        <v>0</v>
      </c>
      <c r="L9" s="9">
        <v>149.16999999999999</v>
      </c>
      <c r="M9" s="9">
        <v>0</v>
      </c>
      <c r="N9" s="9">
        <v>0</v>
      </c>
      <c r="O9" s="9">
        <v>0</v>
      </c>
      <c r="P9" s="9" t="str">
        <v>Enrollment &amp; Access</v>
      </c>
      <c r="Q9" s="9" t="str">
        <v>Full-Time Equivalent Students (FTES)</v>
      </c>
      <c r="R9" s="9" t="str">
        <v>SCFF Population: Incarcerated Students</v>
      </c>
      <c r="S9" s="9" t="str">
        <v>Student Centered Funding Formula (SCFF); Vision 2030</v>
      </c>
      <c r="T9" s="9" t="str">
        <v>N</v>
      </c>
      <c r="U9" s="9" t="str">
        <v>N</v>
      </c>
      <c r="V9" s="24" t="str">
        <v>Y</v>
      </c>
      <c r="W9" s="24" t="str">
        <v>N</v>
      </c>
      <c r="X9" s="24" t="str">
        <v>Y</v>
      </c>
      <c r="Y9" s="24" t="str">
        <v>Decimal (FTES)</v>
      </c>
      <c r="Z9" s="9" t="str">
        <v>Credit FTES generated by incarcerated students eligible to attend under Education Code Section 84810.5(a).</v>
      </c>
      <c r="AA9" s="10" t="str">
        <v>SCFF Populations; Outreach &amp; Marketing</v>
      </c>
      <c r="AB9" t="str">
        <v>Goal 5: Expand equitable access, with intentional emphasis on historically underserved communities</v>
      </c>
      <c r="AC9">
        <v>0</v>
      </c>
      <c r="AD9">
        <v>0</v>
      </c>
      <c r="AE9" t="str">
        <v>Pillar I. Clarify the Path</v>
      </c>
      <c r="AF9">
        <v>0</v>
      </c>
      <c r="AG9" t="str">
        <v>Tracked in EMP Metrics and EMP Dashboard.</v>
      </c>
    </row>
    <row r="10" spans="1:33" x14ac:dyDescent="0.25">
      <c r="A10" s="9" t="str">
        <v>M-008</v>
      </c>
      <c r="B10" s="9" t="str">
        <v>Educational Master Plan</v>
      </c>
      <c r="C10" s="9" t="str">
        <v>Noncredit CDCP FTES</v>
      </c>
      <c r="D10" s="9" t="str">
        <v>CCFS-320 Portal</v>
      </c>
      <c r="E10" s="9">
        <v>0</v>
      </c>
      <c r="F10" s="9">
        <v>0</v>
      </c>
      <c r="G10" s="9">
        <v>218.36</v>
      </c>
      <c r="H10" s="9">
        <v>106.6</v>
      </c>
      <c r="I10" s="9">
        <v>155.51</v>
      </c>
      <c r="J10" s="9">
        <v>0</v>
      </c>
      <c r="K10" s="9">
        <v>0</v>
      </c>
      <c r="L10" s="9">
        <v>0</v>
      </c>
      <c r="M10" s="9">
        <v>0</v>
      </c>
      <c r="N10" s="9">
        <v>0</v>
      </c>
      <c r="O10" s="9">
        <v>0</v>
      </c>
      <c r="P10" s="9" t="str">
        <v>Enrollment &amp; Access</v>
      </c>
      <c r="Q10" s="9" t="str">
        <v>Full-Time Equivalent Students (FTES)</v>
      </c>
      <c r="R10" s="9" t="str">
        <v>SCFF Population: Noncredit CDCP</v>
      </c>
      <c r="S10" s="9" t="str">
        <v>Student Centered Funding Formula (SCFF)</v>
      </c>
      <c r="T10" s="9" t="str">
        <v>N</v>
      </c>
      <c r="U10" s="9" t="str">
        <v>N</v>
      </c>
      <c r="V10" s="24" t="str">
        <v>Y</v>
      </c>
      <c r="W10" s="24" t="str">
        <v>N</v>
      </c>
      <c r="X10" s="24" t="str">
        <v>N</v>
      </c>
      <c r="Y10" s="24" t="str">
        <v>Decimal (FTES)</v>
      </c>
      <c r="Z10" s="9" t="str">
        <v>Noncredit Career Development and College Preparation (CDCP) Full-Time Equivalent Students.</v>
      </c>
      <c r="AA10" s="10" t="str">
        <v>SCFF Populations</v>
      </c>
      <c r="AB10" t="str">
        <v>Goal 5: Expand equitable access, with intentional emphasis on historically underserved communities</v>
      </c>
      <c r="AC10">
        <v>0</v>
      </c>
      <c r="AD10">
        <v>0</v>
      </c>
      <c r="AE10" t="str">
        <v>Pillar I. Clarify the Path</v>
      </c>
      <c r="AF10">
        <v>0</v>
      </c>
      <c r="AG10" t="str">
        <v>Tracked on EMP Dashboard.</v>
      </c>
    </row>
    <row r="11" spans="1:33" x14ac:dyDescent="0.25">
      <c r="A11" s="9" t="str">
        <v>M-009</v>
      </c>
      <c r="B11" s="9" t="str">
        <v>Educational Master Plan</v>
      </c>
      <c r="C11" s="9" t="str">
        <v>Pell Grant Recipient Headcount</v>
      </c>
      <c r="D11" s="9" t="str">
        <v>SCFF file from CCCCO</v>
      </c>
      <c r="E11" s="9">
        <v>7515</v>
      </c>
      <c r="F11" s="9">
        <v>6853</v>
      </c>
      <c r="G11" s="9">
        <v>7190</v>
      </c>
      <c r="H11" s="9">
        <v>7853</v>
      </c>
      <c r="I11" s="9">
        <v>9301</v>
      </c>
      <c r="J11" s="9">
        <v>0</v>
      </c>
      <c r="K11" s="9">
        <v>0</v>
      </c>
      <c r="L11" s="9">
        <v>0</v>
      </c>
      <c r="M11" s="9" t="str">
        <v>Increase 1% per year</v>
      </c>
      <c r="N11" s="9">
        <v>0</v>
      </c>
      <c r="O11" s="9">
        <v>0</v>
      </c>
      <c r="P11" s="9" t="str">
        <v>Enrollment &amp; Access</v>
      </c>
      <c r="Q11" s="9" t="str">
        <v>Financial Aid; SCFF Supplemental Populations</v>
      </c>
      <c r="R11" s="9" t="str">
        <v>Pell Grant Recipients</v>
      </c>
      <c r="S11" s="9" t="str">
        <v>Student Centered Funding Formula (SCFF); Vision 2030</v>
      </c>
      <c r="T11" s="9" t="str">
        <v>N</v>
      </c>
      <c r="U11" s="9" t="str">
        <v>N</v>
      </c>
      <c r="V11" s="24" t="str">
        <v>Y</v>
      </c>
      <c r="W11" s="24" t="str">
        <v>N</v>
      </c>
      <c r="X11" s="24" t="str">
        <v>Y</v>
      </c>
      <c r="Y11" s="24" t="str">
        <v>Count</v>
      </c>
      <c r="Z11" s="9" t="str">
        <v>Headcount of students by district who received a Federal Pell Grant in the district in the reporting year.</v>
      </c>
      <c r="AA11" s="10" t="str">
        <v>SCFF Populations; Outreach &amp; Marketing</v>
      </c>
      <c r="AB11" t="str">
        <v>Goal 5: Expand equitable access, with intentional emphasis on historically underserved communities</v>
      </c>
      <c r="AC11">
        <v>0</v>
      </c>
      <c r="AD11">
        <v>0</v>
      </c>
      <c r="AE11" t="str">
        <v>Pillar I. Clarify the Path</v>
      </c>
      <c r="AF11">
        <v>0</v>
      </c>
      <c r="AG11" t="str">
        <v>Overlaps across EMP ('Pell Grant Recipient Count' / 'Pell Grant Recipients') and Ongoing Report Card ('Headcount of Pell Grant Recipients').</v>
      </c>
    </row>
    <row r="12" spans="1:33" x14ac:dyDescent="0.25">
      <c r="A12" s="9" t="str">
        <v>M-010</v>
      </c>
      <c r="B12" s="9" t="str">
        <v>Educational Master Plan</v>
      </c>
      <c r="C12" s="9" t="str">
        <v>Promise Grant Recipient Headcount</v>
      </c>
      <c r="D12" s="9" t="str">
        <v>SCFF file from CCCCO</v>
      </c>
      <c r="E12" s="9">
        <v>15458</v>
      </c>
      <c r="F12" s="9">
        <v>13884</v>
      </c>
      <c r="G12" s="9">
        <v>14134</v>
      </c>
      <c r="H12" s="9">
        <v>16152</v>
      </c>
      <c r="I12" s="9">
        <v>17089</v>
      </c>
      <c r="J12" s="9">
        <v>0</v>
      </c>
      <c r="K12" s="9">
        <v>0</v>
      </c>
      <c r="L12" s="9">
        <v>0</v>
      </c>
      <c r="M12" s="9" t="str">
        <v>Increase 1% per year</v>
      </c>
      <c r="N12" s="9">
        <v>0</v>
      </c>
      <c r="O12" s="9">
        <v>0</v>
      </c>
      <c r="P12" s="9" t="str">
        <v>Enrollment &amp; Access</v>
      </c>
      <c r="Q12" s="9" t="str">
        <v>Financial Aid; SCFF Supplemental Populations</v>
      </c>
      <c r="R12" s="9" t="str">
        <v>California College Promise Grant (CCPG) Recipients</v>
      </c>
      <c r="S12" s="9" t="str">
        <v>Student Centered Funding Formula (SCFF); Vision 2030</v>
      </c>
      <c r="T12" s="9" t="str">
        <v>N</v>
      </c>
      <c r="U12" s="9" t="str">
        <v>N</v>
      </c>
      <c r="V12" s="24" t="str">
        <v>Y</v>
      </c>
      <c r="W12" s="24" t="str">
        <v>N</v>
      </c>
      <c r="X12" s="24" t="str">
        <v>Y</v>
      </c>
      <c r="Y12" s="24" t="str">
        <v>Count</v>
      </c>
      <c r="Z12" s="9" t="str">
        <v>Headcount of students by district who received a California College Promise Grant fee waiver pursuant to ECS 76300 in the district in the reporting year.</v>
      </c>
      <c r="AA12" s="10" t="str">
        <v>SCFF Populations; Outreach &amp; Marketing</v>
      </c>
      <c r="AB12" t="str">
        <v>Goal 5: Expand equitable access, with intentional emphasis on historically underserved communities</v>
      </c>
      <c r="AC12">
        <v>0</v>
      </c>
      <c r="AD12">
        <v>0</v>
      </c>
      <c r="AE12" t="str">
        <v>Pillar I. Clarify the Path</v>
      </c>
      <c r="AF12">
        <v>0</v>
      </c>
      <c r="AG12" t="str">
        <v>Overlaps across EMP ('Promise Grant Recipient Count' / 'Promise Grant Recipients') and Ongoing Report Card ('Headcount of Promise Grant Recipients').</v>
      </c>
    </row>
    <row r="13" spans="1:33" x14ac:dyDescent="0.25">
      <c r="A13" s="9" t="str">
        <v>M-011</v>
      </c>
      <c r="B13" s="9" t="str">
        <v>Educational Master Plan</v>
      </c>
      <c r="C13" s="9" t="str">
        <v>AB-540 Student Headcount</v>
      </c>
      <c r="D13" s="9" t="str">
        <v>SCFF file from CCCCO</v>
      </c>
      <c r="E13" s="9">
        <v>1619</v>
      </c>
      <c r="F13" s="9">
        <v>1243</v>
      </c>
      <c r="G13" s="9">
        <v>566</v>
      </c>
      <c r="H13" s="9">
        <v>588</v>
      </c>
      <c r="I13" s="9">
        <v>625</v>
      </c>
      <c r="J13" s="9">
        <v>0</v>
      </c>
      <c r="K13" s="9">
        <v>0</v>
      </c>
      <c r="L13" s="9">
        <v>0</v>
      </c>
      <c r="M13" s="9">
        <v>0</v>
      </c>
      <c r="N13" s="9">
        <v>0</v>
      </c>
      <c r="O13" s="9">
        <v>0</v>
      </c>
      <c r="P13" s="9" t="str">
        <v>Enrollment &amp; Access</v>
      </c>
      <c r="Q13" s="9" t="str">
        <v>Financial Aid; SCFF Supplemental Populations</v>
      </c>
      <c r="R13" s="9" t="str">
        <v>AB540 Students</v>
      </c>
      <c r="S13" s="9" t="str">
        <v>Student Centered Funding Formula (SCFF)</v>
      </c>
      <c r="T13" s="9" t="str">
        <v>N</v>
      </c>
      <c r="U13" s="9" t="str">
        <v>N</v>
      </c>
      <c r="V13" s="24" t="str">
        <v>Y</v>
      </c>
      <c r="W13" s="24" t="str">
        <v>N</v>
      </c>
      <c r="X13" s="24" t="str">
        <v>N</v>
      </c>
      <c r="Y13" s="24" t="str">
        <v>Count</v>
      </c>
      <c r="Z13" s="9" t="str">
        <v>Headcount of students granted a nonresident tuition exemption pursuant to Education Code Section 68130.5 (AB540).</v>
      </c>
      <c r="AA13" s="10" t="str">
        <v>SCFF Populations</v>
      </c>
      <c r="AB13" t="str">
        <v>Goal 5: Expand equitable access, with intentional emphasis on historically underserved communities</v>
      </c>
      <c r="AC13">
        <v>0</v>
      </c>
      <c r="AD13">
        <v>0</v>
      </c>
      <c r="AE13" t="str">
        <v>Pillar I. Clarify the Path</v>
      </c>
      <c r="AF13">
        <v>0</v>
      </c>
      <c r="AG13" t="str">
        <v>Overlaps across EMP Dashboard ('AB540 Students') and Ongoing Report Card ('Headcount of AB540 Students').</v>
      </c>
    </row>
    <row r="14" spans="1:33" x14ac:dyDescent="0.25">
      <c r="A14" s="9" t="str">
        <v>M-012</v>
      </c>
      <c r="B14" s="9" t="str">
        <v>Educational Master Plan</v>
      </c>
      <c r="C14" s="9" t="str">
        <v>Districtwide Course Fill Rate</v>
      </c>
      <c r="D14" s="9" t="str">
        <v>IR Dashboard - Enrollment Management</v>
      </c>
      <c r="E14" s="9">
        <v>0.81299999999999994</v>
      </c>
      <c r="F14" s="9">
        <v>0.754</v>
      </c>
      <c r="G14" s="9">
        <v>0.78200000000000003</v>
      </c>
      <c r="H14" s="9">
        <v>0.81299999999999994</v>
      </c>
      <c r="I14" s="9">
        <v>0.82</v>
      </c>
      <c r="J14" s="9">
        <v>0.88200000000000001</v>
      </c>
      <c r="K14" s="9">
        <v>0</v>
      </c>
      <c r="L14" s="9">
        <v>0.88200000000000001</v>
      </c>
      <c r="M14" s="9">
        <v>0.9</v>
      </c>
      <c r="N14" s="9">
        <v>0</v>
      </c>
      <c r="O14" s="9">
        <v>0</v>
      </c>
      <c r="P14" s="9" t="str">
        <v>Scheduling &amp; Efficiency</v>
      </c>
      <c r="Q14" s="9" t="str">
        <v>Scheduling Efficiency</v>
      </c>
      <c r="R14" s="9" t="str">
        <v>Total Districtwide</v>
      </c>
      <c r="S14" s="9">
        <v>0</v>
      </c>
      <c r="T14" s="9" t="str">
        <v>N</v>
      </c>
      <c r="U14" s="9" t="str">
        <v>N</v>
      </c>
      <c r="V14" s="24" t="str">
        <v>N</v>
      </c>
      <c r="W14" s="24" t="str">
        <v>N</v>
      </c>
      <c r="X14" s="24" t="str">
        <v>N</v>
      </c>
      <c r="Y14" s="24" t="str">
        <v>Percentage</v>
      </c>
      <c r="Z14" s="9" t="str">
        <v>Proportion of available course section seats filled at census districtwide.</v>
      </c>
      <c r="AA14" s="10" t="str">
        <v>Scheduling &amp; Operating Processes and Waitlist Management</v>
      </c>
      <c r="AB14" t="str">
        <v>Goal 2: Increase Scheduling Efficiency</v>
      </c>
      <c r="AC14">
        <v>0</v>
      </c>
      <c r="AD14">
        <v>0</v>
      </c>
      <c r="AE14" t="str">
        <v>Pillar III. Stay on the Path</v>
      </c>
      <c r="AF14">
        <v>0</v>
      </c>
      <c r="AG14" t="str">
        <v>Tracked in EMP Metrics ('Districtwide Course Fill Rate') and EMP Dashboard ('Course Fill Rate').</v>
      </c>
    </row>
    <row r="15" spans="1:33" x14ac:dyDescent="0.25">
      <c r="A15" s="9" t="str">
        <v>M-013</v>
      </c>
      <c r="B15" s="9" t="str">
        <v>Educational Master Plan</v>
      </c>
      <c r="C15" s="9" t="str">
        <v>FTES/FTEF Ratio</v>
      </c>
      <c r="D15" s="9" t="str">
        <v>IR Dashboard - Enrollment Management</v>
      </c>
      <c r="E15" s="9">
        <v>13.41</v>
      </c>
      <c r="F15" s="9">
        <v>12.13</v>
      </c>
      <c r="G15" s="9">
        <v>12.53</v>
      </c>
      <c r="H15" s="9">
        <v>13.14</v>
      </c>
      <c r="I15" s="9">
        <v>13.16</v>
      </c>
      <c r="J15" s="9">
        <v>14.09</v>
      </c>
      <c r="K15" s="9">
        <v>0</v>
      </c>
      <c r="L15" s="9">
        <v>14.09</v>
      </c>
      <c r="M15" s="9">
        <v>15</v>
      </c>
      <c r="N15" s="9">
        <v>0</v>
      </c>
      <c r="O15" s="9">
        <v>0</v>
      </c>
      <c r="P15" s="9" t="str">
        <v>Scheduling &amp; Efficiency</v>
      </c>
      <c r="Q15" s="9" t="str">
        <v>Scheduling Efficiency</v>
      </c>
      <c r="R15" s="9" t="str">
        <v>Total Districtwide</v>
      </c>
      <c r="S15" s="9">
        <v>0</v>
      </c>
      <c r="T15" s="9" t="str">
        <v>N</v>
      </c>
      <c r="U15" s="9" t="str">
        <v>N</v>
      </c>
      <c r="V15" s="24" t="str">
        <v>N</v>
      </c>
      <c r="W15" s="24" t="str">
        <v>N</v>
      </c>
      <c r="X15" s="24" t="str">
        <v>N</v>
      </c>
      <c r="Y15" s="24" t="str">
        <v>Ratio</v>
      </c>
      <c r="Z15" s="9" t="str">
        <v>Ratio of Full-Time Equivalent Students (FTES) to Full-Time Equivalent Faculty (FTEF).</v>
      </c>
      <c r="AA15" s="10" t="str">
        <v>Scheduling &amp; Operating Processes and Waitlist Management</v>
      </c>
      <c r="AB15" t="str">
        <v>Goal 2: Increase Scheduling Efficiency</v>
      </c>
      <c r="AC15">
        <v>0</v>
      </c>
      <c r="AD15">
        <v>0</v>
      </c>
      <c r="AE15" t="str">
        <v>Pillar III. Stay on the Path</v>
      </c>
      <c r="AF15">
        <v>0</v>
      </c>
      <c r="AG15" t="str">
        <v>EMP Metrics sheet lists 12.53 / 13.14 / 13.16 / 14.09; EMP Dashboard lists 12.49 / 13.12 / 13.14 for 2022-25.</v>
      </c>
    </row>
    <row r="16" spans="1:33" x14ac:dyDescent="0.25">
      <c r="A16" s="9" t="str">
        <v>M-014</v>
      </c>
      <c r="B16" s="9" t="str">
        <v>Educational Master Plan</v>
      </c>
      <c r="C16" s="9" t="str">
        <v>Percentage of Sections Online</v>
      </c>
      <c r="D16" s="9" t="str">
        <v>IR Dashboard - Enrollment Management</v>
      </c>
      <c r="E16" s="9">
        <v>0.96099999999999997</v>
      </c>
      <c r="F16" s="9">
        <v>0.82099999999999995</v>
      </c>
      <c r="G16" s="9">
        <v>0.76</v>
      </c>
      <c r="H16" s="9">
        <v>0.7</v>
      </c>
      <c r="I16" s="9">
        <v>0.69</v>
      </c>
      <c r="J16" s="9">
        <v>0.62</v>
      </c>
      <c r="K16" s="9">
        <v>0</v>
      </c>
      <c r="L16" s="9">
        <v>0</v>
      </c>
      <c r="M16" s="9">
        <v>0</v>
      </c>
      <c r="N16" s="9">
        <v>0</v>
      </c>
      <c r="O16" s="9">
        <v>0</v>
      </c>
      <c r="P16" s="9" t="str">
        <v>Scheduling &amp; Efficiency</v>
      </c>
      <c r="Q16" s="9" t="str">
        <v>Section Modality Distribution</v>
      </c>
      <c r="R16" s="9" t="str">
        <v>Modality: Online</v>
      </c>
      <c r="S16" s="9">
        <v>0</v>
      </c>
      <c r="T16" s="9" t="str">
        <v>N</v>
      </c>
      <c r="U16" s="9" t="str">
        <v>N</v>
      </c>
      <c r="V16" s="24" t="str">
        <v>N</v>
      </c>
      <c r="W16" s="24" t="str">
        <v>N</v>
      </c>
      <c r="X16" s="24" t="str">
        <v>N</v>
      </c>
      <c r="Y16" s="24" t="str">
        <v>Percentage</v>
      </c>
      <c r="Z16" s="9" t="str">
        <v>Percentage of course sections offered fully online.</v>
      </c>
      <c r="AA16" s="10" t="str">
        <v>Session Length &amp; Modality</v>
      </c>
      <c r="AB16" t="str">
        <v>Goal 3: Strengthen Persistence, Retention, and Momentum</v>
      </c>
      <c r="AC16">
        <v>0</v>
      </c>
      <c r="AD16">
        <v>0</v>
      </c>
      <c r="AE16" t="str">
        <v>Pillar III. Stay on the Path</v>
      </c>
      <c r="AF16">
        <v>0</v>
      </c>
      <c r="AG16" t="str">
        <v>Tracked on EMP Dashboard ('% Sections Online').</v>
      </c>
    </row>
    <row r="17" spans="1:33" x14ac:dyDescent="0.25">
      <c r="A17" s="9" t="str">
        <v>M-015</v>
      </c>
      <c r="B17" s="9" t="str">
        <v>Educational Master Plan</v>
      </c>
      <c r="C17" s="9" t="str">
        <v>Percentage of Sections In-Person / Hybrid</v>
      </c>
      <c r="D17" s="9" t="str">
        <v>IR Dashboard - Enrollment Management</v>
      </c>
      <c r="E17" s="9">
        <v>3.1E-2</v>
      </c>
      <c r="F17" s="9">
        <v>9.0999999999999998E-2</v>
      </c>
      <c r="G17" s="9">
        <v>0.24</v>
      </c>
      <c r="H17" s="9">
        <v>0.3</v>
      </c>
      <c r="I17" s="9">
        <v>0.31</v>
      </c>
      <c r="J17" s="9">
        <v>0.31</v>
      </c>
      <c r="K17" s="9">
        <v>0</v>
      </c>
      <c r="L17" s="9">
        <v>0</v>
      </c>
      <c r="M17" s="9">
        <v>0</v>
      </c>
      <c r="N17" s="9">
        <v>0</v>
      </c>
      <c r="O17" s="9">
        <v>0</v>
      </c>
      <c r="P17" s="9" t="str">
        <v>Scheduling &amp; Efficiency</v>
      </c>
      <c r="Q17" s="9" t="str">
        <v>Section Modality Distribution</v>
      </c>
      <c r="R17" s="9" t="str">
        <v>Modality: In-Person / Hybrid</v>
      </c>
      <c r="S17" s="9">
        <v>0</v>
      </c>
      <c r="T17" s="9" t="str">
        <v>N</v>
      </c>
      <c r="U17" s="9" t="str">
        <v>N</v>
      </c>
      <c r="V17" s="24" t="str">
        <v>N</v>
      </c>
      <c r="W17" s="24" t="str">
        <v>N</v>
      </c>
      <c r="X17" s="24" t="str">
        <v>N</v>
      </c>
      <c r="Y17" s="24" t="str">
        <v>Percentage</v>
      </c>
      <c r="Z17" s="9" t="str">
        <v>Percentage of course sections offered in-person or hybrid.</v>
      </c>
      <c r="AA17" s="10" t="str">
        <v>Session Length &amp; Modality</v>
      </c>
      <c r="AB17" t="str">
        <v>Goal 3: Strengthen Persistence, Retention, and Momentum</v>
      </c>
      <c r="AC17">
        <v>0</v>
      </c>
      <c r="AD17">
        <v>0</v>
      </c>
      <c r="AE17" t="str">
        <v>Pillar III. Stay on the Path</v>
      </c>
      <c r="AF17">
        <v>0</v>
      </c>
      <c r="AG17" t="str">
        <v>Tracked on EMP Dashboard ('% Sections In-Person/Hybrid').</v>
      </c>
    </row>
    <row r="18" spans="1:33" x14ac:dyDescent="0.25">
      <c r="A18" s="9" t="str">
        <v>M-016</v>
      </c>
      <c r="B18" s="9" t="str">
        <v>Educational Master Plan; Strategic Plan (2026-2030)</v>
      </c>
      <c r="C18" s="9" t="str">
        <v>Annual Overall Course Success Rate</v>
      </c>
      <c r="D18" s="9" t="str">
        <v>IR Dashboard - Success and Retention</v>
      </c>
      <c r="E18" s="9">
        <v>0.70199999999999996</v>
      </c>
      <c r="F18" s="9">
        <v>0.67</v>
      </c>
      <c r="G18" s="9">
        <v>0.67300000000000004</v>
      </c>
      <c r="H18" s="9">
        <v>0.71099999999999997</v>
      </c>
      <c r="I18" s="9">
        <v>0.74099999999999999</v>
      </c>
      <c r="J18" s="9">
        <v>0.76080000000000003</v>
      </c>
      <c r="K18" s="9">
        <v>0</v>
      </c>
      <c r="L18" s="9">
        <v>0.76080000000000003</v>
      </c>
      <c r="M18" s="9">
        <v>0.8</v>
      </c>
      <c r="N18" s="9">
        <v>0.74099999999999999</v>
      </c>
      <c r="O18" s="9">
        <v>0.8</v>
      </c>
      <c r="P18" s="9" t="str">
        <v>Course Success; Retention &amp; Persistence</v>
      </c>
      <c r="Q18" s="9" t="str">
        <v>Course Success Rate</v>
      </c>
      <c r="R18" s="9" t="str">
        <v>Total Districtwide</v>
      </c>
      <c r="S18" s="9" t="str">
        <v>ACCJC Standards</v>
      </c>
      <c r="T18" s="9" t="str">
        <v>Y</v>
      </c>
      <c r="U18" s="9" t="str">
        <v>N</v>
      </c>
      <c r="V18" s="24" t="str">
        <v>N</v>
      </c>
      <c r="W18" s="24" t="str">
        <v>N</v>
      </c>
      <c r="X18" s="24" t="str">
        <v>N</v>
      </c>
      <c r="Y18" s="24" t="str">
        <v>Percentage</v>
      </c>
      <c r="Z18" s="9" t="str">
        <v>The percentage of enrollments earning a grade of A, B, C, or Pass out of total graded enrollments in a given year.</v>
      </c>
      <c r="AA18" s="10" t="str">
        <v>Session Length &amp; Modality</v>
      </c>
      <c r="AB18" t="str">
        <v>Goal 3: Strengthen Persistence, Retention, and Momentum</v>
      </c>
      <c r="AC18" t="str">
        <v>Goal 1: Success</v>
      </c>
      <c r="AD18" t="str">
        <v>1.3 Improve course success rates</v>
      </c>
      <c r="AE18" t="str">
        <v>Pillar III. Stay on the Path</v>
      </c>
      <c r="AF18" t="str">
        <v>Executive Director, Institutional Research</v>
      </c>
      <c r="AG18" t="str">
        <v>Overlaps across all 3 documents: Strategic Plan ('Annual Course Success Rate', 2024-25 baseline 74.1%, target 80%), EMP Dashboard ('Overall Course Success Rate'), and Ongoing Report Card ('Course Success Rates', 2025-26 = 76.08%).</v>
      </c>
    </row>
    <row r="19" spans="1:33" x14ac:dyDescent="0.25">
      <c r="A19" s="9" t="str">
        <v>M-017</v>
      </c>
      <c r="B19" s="9" t="str">
        <v>Educational Master Plan</v>
      </c>
      <c r="C19" s="9" t="str">
        <v>Overall In-Person Course Success Rate</v>
      </c>
      <c r="D19" s="9" t="str">
        <v>IR Dashboard - Success and Retention</v>
      </c>
      <c r="E19" s="9">
        <v>0.91500000000000004</v>
      </c>
      <c r="F19" s="9">
        <v>0.78500000000000003</v>
      </c>
      <c r="G19" s="9">
        <v>0.753</v>
      </c>
      <c r="H19" s="9">
        <v>0.74299999999999999</v>
      </c>
      <c r="I19" s="9">
        <v>0.753</v>
      </c>
      <c r="J19" s="9">
        <v>0.76500000000000001</v>
      </c>
      <c r="K19" s="9">
        <v>0</v>
      </c>
      <c r="L19" s="9">
        <v>0.76100000000000001</v>
      </c>
      <c r="M19" s="9">
        <v>0.8</v>
      </c>
      <c r="N19" s="9">
        <v>0</v>
      </c>
      <c r="O19" s="9">
        <v>0</v>
      </c>
      <c r="P19" s="9" t="str">
        <v>Course Success; Retention &amp; Persistence</v>
      </c>
      <c r="Q19" s="9" t="str">
        <v>Course Success Rate</v>
      </c>
      <c r="R19" s="9" t="str">
        <v>Modality: In-Person</v>
      </c>
      <c r="S19" s="9" t="str">
        <v>ACCJC Standards</v>
      </c>
      <c r="T19" s="9" t="str">
        <v>Y</v>
      </c>
      <c r="U19" s="9" t="str">
        <v>N</v>
      </c>
      <c r="V19" s="24" t="str">
        <v>N</v>
      </c>
      <c r="W19" s="24" t="str">
        <v>N</v>
      </c>
      <c r="X19" s="24" t="str">
        <v>N</v>
      </c>
      <c r="Y19" s="24" t="str">
        <v>Percentage</v>
      </c>
      <c r="Z19" s="9" t="str">
        <v>The percentage of enrollments in in-person sections earning a grade of A, B, C, or Pass out of total graded in-person enrollments.</v>
      </c>
      <c r="AA19" s="10" t="str">
        <v>Session Length &amp; Modality</v>
      </c>
      <c r="AB19" t="str">
        <v>Goal 3: Strengthen Persistence, Retention, and Momentum</v>
      </c>
      <c r="AC19">
        <v>0</v>
      </c>
      <c r="AD19">
        <v>0</v>
      </c>
      <c r="AE19" t="str">
        <v>Pillar III. Stay on the Path</v>
      </c>
      <c r="AF19" t="str">
        <v>Executive Director, Institutional Research</v>
      </c>
      <c r="AG19" t="str">
        <v>Tracked in EMP Metrics sheet; flagged in EMP as aligned with the Strategic Plan Course Success Rate goal.</v>
      </c>
    </row>
    <row r="20" spans="1:33" x14ac:dyDescent="0.25">
      <c r="A20" s="9" t="str">
        <v>M-018</v>
      </c>
      <c r="B20" s="9" t="str">
        <v>Educational Master Plan</v>
      </c>
      <c r="C20" s="9" t="str">
        <v>Overall Online Course Success Rate</v>
      </c>
      <c r="D20" s="9" t="str">
        <v>IR Dashboard - Success and Retention</v>
      </c>
      <c r="E20" s="9">
        <v>0.69799999999999995</v>
      </c>
      <c r="F20" s="9">
        <v>0.65600000000000003</v>
      </c>
      <c r="G20" s="9">
        <v>0.65100000000000002</v>
      </c>
      <c r="H20" s="9">
        <v>0.69899999999999995</v>
      </c>
      <c r="I20" s="9">
        <v>0.73699999999999999</v>
      </c>
      <c r="J20" s="9">
        <v>0.75900000000000001</v>
      </c>
      <c r="K20" s="9">
        <v>0</v>
      </c>
      <c r="L20" s="9">
        <v>0</v>
      </c>
      <c r="M20" s="9">
        <v>0</v>
      </c>
      <c r="N20" s="9">
        <v>0</v>
      </c>
      <c r="O20" s="9">
        <v>0</v>
      </c>
      <c r="P20" s="9" t="str">
        <v>Course Success; Retention &amp; Persistence</v>
      </c>
      <c r="Q20" s="9" t="str">
        <v>Course Success Rate</v>
      </c>
      <c r="R20" s="9" t="str">
        <v>Modality: Online</v>
      </c>
      <c r="S20" s="9">
        <v>0</v>
      </c>
      <c r="T20" s="9" t="str">
        <v>N</v>
      </c>
      <c r="U20" s="9" t="str">
        <v>N</v>
      </c>
      <c r="V20" s="24" t="str">
        <v>N</v>
      </c>
      <c r="W20" s="24" t="str">
        <v>N</v>
      </c>
      <c r="X20" s="24" t="str">
        <v>N</v>
      </c>
      <c r="Y20" s="24" t="str">
        <v>Percentage</v>
      </c>
      <c r="Z20" s="9" t="str">
        <v>The percentage of enrollments in online sections earning a grade of A, B, C, or Pass out of total graded online enrollments.</v>
      </c>
      <c r="AA20" s="10" t="str">
        <v>Session Length &amp; Modality</v>
      </c>
      <c r="AB20" t="str">
        <v>Goal 3: Strengthen Persistence, Retention, and Momentum</v>
      </c>
      <c r="AC20">
        <v>0</v>
      </c>
      <c r="AD20">
        <v>0</v>
      </c>
      <c r="AE20" t="str">
        <v>Pillar III. Stay on the Path</v>
      </c>
      <c r="AF20" t="str">
        <v>Executive Director, Institutional Research</v>
      </c>
      <c r="AG20" t="str">
        <v>Tracked in EMP Metrics sheet.</v>
      </c>
    </row>
    <row r="21" spans="1:33" ht="30" x14ac:dyDescent="0.25">
      <c r="A21" s="9" t="str">
        <v>M-020</v>
      </c>
      <c r="B21" s="9" t="str">
        <v>Educational Master Plan; Strategic Plan (2026-2030)</v>
      </c>
      <c r="C21" s="9" t="str">
        <v>Fall-to-Spring Persistence Rate (EMP / Informer)</v>
      </c>
      <c r="D21" s="9" t="str">
        <v>IR Office / Informer Report</v>
      </c>
      <c r="E21" s="9">
        <v>0.68100000000000005</v>
      </c>
      <c r="F21" s="9">
        <v>0.64300000000000002</v>
      </c>
      <c r="G21" s="9">
        <v>0.66600000000000004</v>
      </c>
      <c r="H21" s="9">
        <v>0.66200000000000003</v>
      </c>
      <c r="I21" s="9">
        <v>0.67800000000000005</v>
      </c>
      <c r="J21" s="9">
        <v>0.68200000000000005</v>
      </c>
      <c r="K21" s="9">
        <v>0</v>
      </c>
      <c r="L21" s="9">
        <v>0.68200000000000005</v>
      </c>
      <c r="M21" s="9">
        <v>0.73</v>
      </c>
      <c r="N21" s="9">
        <v>0</v>
      </c>
      <c r="O21" s="9">
        <v>0</v>
      </c>
      <c r="P21" s="9" t="str">
        <v>Course Success; Retention &amp; Persistence</v>
      </c>
      <c r="Q21" s="9" t="str">
        <v>Persistence Rate</v>
      </c>
      <c r="R21" s="9" t="str">
        <v>Total Districtwide</v>
      </c>
      <c r="S21" s="9" t="str">
        <v>Student Equity &amp; Achievement (SEA)</v>
      </c>
      <c r="T21" s="9" t="str">
        <v>N</v>
      </c>
      <c r="U21" s="9" t="str">
        <v>N</v>
      </c>
      <c r="V21" s="24" t="str">
        <v>N</v>
      </c>
      <c r="W21" s="24" t="str">
        <v>Y</v>
      </c>
      <c r="X21" s="24" t="str">
        <v>N</v>
      </c>
      <c r="Y21" s="24" t="str">
        <v>Percentage</v>
      </c>
      <c r="Z21" s="9" t="str">
        <v>The percentage of fall-enrolled students who continued into the following spring term.</v>
      </c>
      <c r="AA21" s="10" t="str">
        <v>Scheduling &amp; Operating Processes and Waitlist Management</v>
      </c>
      <c r="AB21" t="str">
        <v>Goal 3: Strengthen Persistence, Retention, and Momentum</v>
      </c>
      <c r="AC21">
        <v>0</v>
      </c>
      <c r="AD21">
        <v>0</v>
      </c>
      <c r="AE21" t="str">
        <v>Pillar III. Stay on the Path</v>
      </c>
      <c r="AF21" t="str">
        <v>Executive Director, Institutional Research</v>
      </c>
      <c r="AG21" t="str">
        <v>Tracked in EMP Metrics &amp; Dashboard and Ongoing Report Card. Annual figures: 2020-21=68.10%, 2021-22=64.30%, 2022-23=66.60%, 2023-24=66.20%, 2024-25=67.80%, 2025-26 baseline=68.20%, Target=73.00%. Measures all fall-enrolled students persisting to spring.</v>
      </c>
    </row>
    <row r="22" spans="1:33" x14ac:dyDescent="0.25">
      <c r="A22" s="9" t="str">
        <v>M-021</v>
      </c>
      <c r="B22" s="9" t="str">
        <v>Educational Master Plan</v>
      </c>
      <c r="C22" s="9" t="str">
        <v>Percentage of Unique Enrolled Students with Comprehensive Ed Plan (SEP)</v>
      </c>
      <c r="D22" s="9" t="str">
        <v>Informer (Calculated: Unique Enrolled Students with Comp Ed Plan / Unduplicated Headcount)</v>
      </c>
      <c r="E22" s="9">
        <v>0.73899999999999999</v>
      </c>
      <c r="F22" s="9">
        <v>0.67200000000000004</v>
      </c>
      <c r="G22" s="9">
        <v>0.59799999999999998</v>
      </c>
      <c r="H22" s="9">
        <v>0.57799999999999996</v>
      </c>
      <c r="I22" s="9">
        <v>0.59599999999999997</v>
      </c>
      <c r="J22" s="9">
        <v>0.626</v>
      </c>
      <c r="K22" s="9">
        <v>0</v>
      </c>
      <c r="L22" s="9">
        <v>0.626</v>
      </c>
      <c r="M22" s="9">
        <v>0</v>
      </c>
      <c r="N22" s="9">
        <v>0</v>
      </c>
      <c r="O22" s="9">
        <v>0</v>
      </c>
      <c r="P22" s="9" t="str">
        <v>Momentum &amp; Guided Pathways</v>
      </c>
      <c r="Q22" s="9" t="str">
        <v>Comprehensive Student Education Plan (SEP)</v>
      </c>
      <c r="R22" s="9" t="str">
        <v>Rate (% of Unique Enrolled Students)</v>
      </c>
      <c r="S22" s="9">
        <v>0</v>
      </c>
      <c r="T22" s="9" t="str">
        <v>N</v>
      </c>
      <c r="U22" s="9" t="str">
        <v>N</v>
      </c>
      <c r="V22" s="24" t="str">
        <v>N</v>
      </c>
      <c r="W22" s="24" t="str">
        <v>N</v>
      </c>
      <c r="X22" s="24" t="str">
        <v>N</v>
      </c>
      <c r="Y22" s="24" t="str">
        <v>Percentage</v>
      </c>
      <c r="Z22" s="9" t="str">
        <v>Percentage of unique enrolled students who have a completed Comprehensive Student Education Plan (SEP).</v>
      </c>
      <c r="AA22" s="10" t="str">
        <v>Scheduling &amp; Operating Processes and Waitlist Management</v>
      </c>
      <c r="AB22" t="str">
        <v>Goal 3: Strengthen Persistence, Retention, and Momentum</v>
      </c>
      <c r="AC22">
        <v>0</v>
      </c>
      <c r="AD22">
        <v>0</v>
      </c>
      <c r="AE22" t="str">
        <v>Pillar I. Clarify the Path; Pillar II. Enter the Path</v>
      </c>
      <c r="AF22">
        <v>0</v>
      </c>
      <c r="AG22" t="str">
        <v>Overlaps between EMP Dashboard ('% Students with Comp. SEP') and Ongoing Report Card ('Percentage of Unique Enrolled Students with Comprehensive Ed Plan'). Note: 23-24 RC sheet had slightly different historical percentages (67.5%, 60.2%, 58.1%).</v>
      </c>
    </row>
    <row r="23" spans="1:33" ht="30" x14ac:dyDescent="0.25">
      <c r="A23" s="9" t="str">
        <v>M-026a</v>
      </c>
      <c r="B23" s="9" t="str">
        <v>Educational Master Plan</v>
      </c>
      <c r="C23" s="9" t="str">
        <v>Completion of Both Transfer-Level Math &amp; English in First Year</v>
      </c>
      <c r="D23" s="9" t="str">
        <v>2024-25 SCFF data report</v>
      </c>
      <c r="E23" s="9">
        <v>0</v>
      </c>
      <c r="F23" s="9">
        <v>0</v>
      </c>
      <c r="G23" s="9">
        <v>925</v>
      </c>
      <c r="H23" s="9">
        <v>895</v>
      </c>
      <c r="I23" s="9">
        <v>902</v>
      </c>
      <c r="J23" s="9">
        <v>0</v>
      </c>
      <c r="K23" s="9">
        <v>0</v>
      </c>
      <c r="L23" s="9">
        <v>0</v>
      </c>
      <c r="M23" s="9">
        <v>0</v>
      </c>
      <c r="N23" s="9">
        <v>0</v>
      </c>
      <c r="O23" s="9">
        <v>0</v>
      </c>
      <c r="P23" s="9" t="str">
        <v>Momentum &amp; Guided Pathways</v>
      </c>
      <c r="Q23" s="9" t="str">
        <v>First-Year Transfer-Level Math &amp; English Momentum</v>
      </c>
      <c r="R23" s="9" t="str">
        <v>Both Transfer-Level Math &amp; English (Non-Special Admit)</v>
      </c>
      <c r="S23" s="9" t="str">
        <v>Student Centered Funding Formula (SCFF)</v>
      </c>
      <c r="T23" s="9" t="str">
        <v>N</v>
      </c>
      <c r="U23" s="9" t="str">
        <v>N</v>
      </c>
      <c r="V23" s="24" t="str">
        <v>Y</v>
      </c>
      <c r="W23" s="24" t="str">
        <v>N</v>
      </c>
      <c r="X23" s="24" t="str">
        <v>N</v>
      </c>
      <c r="Y23" s="24" t="str">
        <v>Count</v>
      </c>
      <c r="Z23" s="9" t="str">
        <v>Headcount of non-special admit students who completed both transfer-level math and English in their first academic year.</v>
      </c>
      <c r="AA23" s="10" t="str">
        <v>Session Length &amp; Modality</v>
      </c>
      <c r="AB23" t="str">
        <v>Goal 3: Strengthen Persistence, Retention, and Momentum</v>
      </c>
      <c r="AC23">
        <v>0</v>
      </c>
      <c r="AD23">
        <v>0</v>
      </c>
      <c r="AE23" t="str">
        <v>Pillar II. Enter the Path</v>
      </c>
      <c r="AF23">
        <v>0</v>
      </c>
      <c r="AG23" t="str">
        <v>Report Card 23-24 SCFF report lists 602 (20-21), 534 (21-22), 591 (22-23), 641 (23-24); DataVista sheet lists 593, 524, 589, 633 (with cohort totals 5,590; 6,702; 7,654; 8,498 and rates 10.6%, 7.8%, 7.7%, 7.4%). Note: EMP Dashboard row 'TL English + Math Completers' lists 925 / 895 / 902 (which duplicates the Transfers to 4-Year row in EMP Dashboard; verify cell reference in EMP Dashboard).</v>
      </c>
    </row>
    <row r="24" spans="1:33" ht="30" x14ac:dyDescent="0.25">
      <c r="A24" s="9" t="str">
        <v>M-026b</v>
      </c>
      <c r="B24" s="9" t="str">
        <v>Educational Master Plan</v>
      </c>
      <c r="C24" s="9" t="str">
        <v>Completion of Both Transfer-Level Math &amp; English in First Year</v>
      </c>
      <c r="D24" s="9" t="str">
        <v>DataVista Single Metric General Admit Snapshot - Completed Transfer-Level Math and English Aligned (501SW)</v>
      </c>
      <c r="E24" s="9">
        <v>593</v>
      </c>
      <c r="F24" s="9">
        <v>524</v>
      </c>
      <c r="G24" s="9">
        <v>589</v>
      </c>
      <c r="H24" s="9">
        <v>633</v>
      </c>
      <c r="I24" s="9">
        <v>728</v>
      </c>
      <c r="J24" s="9">
        <v>0</v>
      </c>
      <c r="K24" s="9">
        <v>46317</v>
      </c>
      <c r="L24" s="9">
        <v>0</v>
      </c>
      <c r="M24" s="9">
        <v>0</v>
      </c>
      <c r="N24" s="9">
        <v>0</v>
      </c>
      <c r="O24" s="9">
        <v>0</v>
      </c>
      <c r="P24" s="9" t="str">
        <v>Momentum &amp; Guided Pathways</v>
      </c>
      <c r="Q24" s="9" t="str">
        <v>First-Year Transfer-Level Math &amp; English Momentum</v>
      </c>
      <c r="R24" s="9" t="str">
        <v>Both Transfer-Level Math &amp; English (Non-Special Admit)</v>
      </c>
      <c r="S24" s="9" t="str">
        <v>Student Centered Funding Formula (SCFF)</v>
      </c>
      <c r="T24" s="9" t="str">
        <v>N</v>
      </c>
      <c r="U24" s="9" t="str">
        <v>N</v>
      </c>
      <c r="V24" s="24" t="str">
        <v>Y</v>
      </c>
      <c r="W24" s="24" t="str">
        <v>N</v>
      </c>
      <c r="X24" s="24" t="str">
        <v>N</v>
      </c>
      <c r="Y24" s="24" t="str">
        <v>Count</v>
      </c>
      <c r="Z24" s="9" t="str">
        <v>Headcount of non-special admit students who completed both transfer-level math and English in their first academic year.</v>
      </c>
      <c r="AA24" s="10" t="str">
        <v>Session Length &amp; Modality</v>
      </c>
      <c r="AB24" t="str">
        <v>Goal 3: Strengthen Persistence, Retention, and Momentum</v>
      </c>
      <c r="AC24">
        <v>0</v>
      </c>
      <c r="AD24">
        <v>0</v>
      </c>
      <c r="AE24" t="str">
        <v>Pillar II. Enter the Path</v>
      </c>
      <c r="AF24">
        <v>0</v>
      </c>
      <c r="AG24" t="str">
        <v>Report Card 23-24 SCFF report lists 602 (20-21), 534 (21-22), 591 (22-23), 641 (23-24); DataVista sheet lists 593, 524, 589, 633 (with cohort totals 5,590; 6,702; 7,654; 8,498 and rates 10.6%, 7.8%, 7.7%, 7.4%). Note: EMP Dashboard row 'TL English + Math Completers' lists 925 / 895 / 902 (which duplicates the Transfers to 4-Year row in EMP Dashboard; verify cell reference in EMP Dashboard).</v>
      </c>
    </row>
    <row r="25" spans="1:33" x14ac:dyDescent="0.25">
      <c r="A25" s="9" t="str">
        <v>M-028a</v>
      </c>
      <c r="B25" s="9" t="str">
        <v>Educational Master Plan</v>
      </c>
      <c r="C25" s="9" t="str">
        <v>Associate Degree for Transfer (ADT) Earners (Headcount – EMP / SCFF)</v>
      </c>
      <c r="D25" s="9" t="str">
        <v>SCFF file from CCCCO</v>
      </c>
      <c r="E25" s="9">
        <v>1283</v>
      </c>
      <c r="F25" s="9">
        <v>1123</v>
      </c>
      <c r="G25" s="9">
        <v>1115</v>
      </c>
      <c r="H25" s="9">
        <v>1088</v>
      </c>
      <c r="I25" s="9">
        <v>1375</v>
      </c>
      <c r="J25" s="9">
        <v>0</v>
      </c>
      <c r="K25" s="9">
        <v>0</v>
      </c>
      <c r="L25" s="9">
        <v>0</v>
      </c>
      <c r="M25" s="9">
        <v>0</v>
      </c>
      <c r="N25" s="9">
        <v>0</v>
      </c>
      <c r="O25" s="9">
        <v>0</v>
      </c>
      <c r="P25" s="9" t="str">
        <v>Completion &amp; Credentials</v>
      </c>
      <c r="Q25" s="9" t="str">
        <v>Awards &amp; Credentials</v>
      </c>
      <c r="R25" s="9" t="str">
        <v>Associate Degree for Transfer (ADT) - Headcount (SCFF Highest Award)</v>
      </c>
      <c r="S25" s="9" t="str">
        <v>ACCJC Standards; Strong Workforce Program (SWP); Student Centered Funding Formula (SCFF); Student Equity &amp; Achievement (SEA); Vision 2030</v>
      </c>
      <c r="T25" s="9" t="str">
        <v>Y</v>
      </c>
      <c r="U25" s="9" t="str">
        <v>Y</v>
      </c>
      <c r="V25" s="24" t="str">
        <v>Y</v>
      </c>
      <c r="W25" s="24" t="str">
        <v>Y</v>
      </c>
      <c r="X25" s="24" t="str">
        <v>Y</v>
      </c>
      <c r="Y25" s="24" t="str">
        <v>Count (Headcount)</v>
      </c>
      <c r="Z25" s="9" t="str">
        <v>Headcount of students by district who were reported as receiving a Chancellor's Office approved associate degree for transfer (ADT) at the district in the reporting year and were reported with an enrollment at the district in the reporting year (SCFF highest award criteria).</v>
      </c>
      <c r="AA25" s="10" t="str">
        <v>Scheduling &amp; Operating Processes and Waitlist Management</v>
      </c>
      <c r="AB25" t="str">
        <v>Goal 4: Accelerate Completion, Credential Attainment, and Transfer</v>
      </c>
      <c r="AC25">
        <v>0</v>
      </c>
      <c r="AD25">
        <v>0</v>
      </c>
      <c r="AE25" t="str">
        <v>Pillar IV. Ensure Learning</v>
      </c>
      <c r="AF25" t="str">
        <v>Executive Director, Institutional Research</v>
      </c>
      <c r="AG25" t="str">
        <v>Tracked in EMP Metrics &amp; Dashboard and Ongoing Report Card 23-24. Under SCFF rules, only counts highest award earned per enrolled student (2020-21=1,283; 2021-22=1,123; 2022-23=1,115; 2023-24=1,088; 2024-25=1,375). For duplicated ADT awards, see M-092.</v>
      </c>
    </row>
    <row r="26" spans="1:33" ht="30" x14ac:dyDescent="0.25">
      <c r="A26" s="9" t="str">
        <v>M-029</v>
      </c>
      <c r="B26" s="9" t="str">
        <v>Educational Master Plan</v>
      </c>
      <c r="C26" s="9" t="str">
        <v>Associate Degree (AA/AS Not for Transfer) Earners (Headcount)</v>
      </c>
      <c r="D26" s="9" t="str">
        <v>SCFF file from CCCCO (2024-25 SCFF data report)</v>
      </c>
      <c r="E26" s="9">
        <v>812</v>
      </c>
      <c r="F26" s="9">
        <v>728</v>
      </c>
      <c r="G26" s="9">
        <v>573</v>
      </c>
      <c r="H26" s="9">
        <v>523</v>
      </c>
      <c r="I26" s="9">
        <v>544</v>
      </c>
      <c r="J26" s="9">
        <v>0</v>
      </c>
      <c r="K26" s="9">
        <v>0</v>
      </c>
      <c r="L26" s="9">
        <v>0</v>
      </c>
      <c r="M26" s="9">
        <v>0</v>
      </c>
      <c r="N26" s="9">
        <v>0</v>
      </c>
      <c r="O26" s="9">
        <v>0</v>
      </c>
      <c r="P26" s="9" t="str">
        <v>Completion &amp; Credentials</v>
      </c>
      <c r="Q26" s="9" t="str">
        <v>Awards &amp; Credentials</v>
      </c>
      <c r="R26" s="9" t="str">
        <v>Associate Degree (AA/AS) - Headcount</v>
      </c>
      <c r="S26" s="9" t="str">
        <v>ACCJC Standards; Strong Workforce Program (SWP); Student Centered Funding Formula (SCFF); Student Equity &amp; Achievement (SEA); Vision 2030</v>
      </c>
      <c r="T26" s="9" t="str">
        <v>Y</v>
      </c>
      <c r="U26" s="9" t="str">
        <v>Y</v>
      </c>
      <c r="V26" s="24" t="str">
        <v>Y</v>
      </c>
      <c r="W26" s="24" t="str">
        <v>Y</v>
      </c>
      <c r="X26" s="24" t="str">
        <v>Y</v>
      </c>
      <c r="Y26" s="24" t="str">
        <v>Count (Headcount)</v>
      </c>
      <c r="Z26" s="9" t="str">
        <v>Headcount of students who received a Chancellor's Office approved associate degree (AA/AS) and were enrolled in the reporting year, excluding those meeting SCFF ADT criteria.</v>
      </c>
      <c r="AA26" s="10" t="str">
        <v>Scheduling &amp; Operating Processes and Waitlist Management</v>
      </c>
      <c r="AB26" t="str">
        <v>Goal 4: Accelerate Completion, Credential Attainment, and Transfer</v>
      </c>
      <c r="AC26">
        <v>0</v>
      </c>
      <c r="AD26">
        <v>0</v>
      </c>
      <c r="AE26" t="str">
        <v>Pillar IV. Ensure Learning</v>
      </c>
      <c r="AF26" t="str">
        <v>Executive Director, Institutional Research</v>
      </c>
      <c r="AG26" t="str">
        <v>Overlaps between EMP ('Associate Degree Earners') and Ongoing Report Card 23-24 ('Headcount of Associate Degree Earners'). Counts highest award earned per student under SCFF rules. For total duplicated AA/AS awards, see M-104.</v>
      </c>
    </row>
    <row r="27" spans="1:33" x14ac:dyDescent="0.25">
      <c r="A27" s="9" t="str">
        <v>M-030a</v>
      </c>
      <c r="B27" s="9" t="str">
        <v>Educational Master Plan</v>
      </c>
      <c r="C27" s="9" t="str">
        <v>Credit Certificate Earners (Headcount – SCFF / EMP)</v>
      </c>
      <c r="D27" s="9" t="str">
        <v>SCFF file from CCCCO</v>
      </c>
      <c r="E27" s="9">
        <v>187</v>
      </c>
      <c r="F27" s="9">
        <v>220</v>
      </c>
      <c r="G27" s="9">
        <v>217</v>
      </c>
      <c r="H27" s="9">
        <v>280</v>
      </c>
      <c r="I27" s="9">
        <v>329</v>
      </c>
      <c r="J27" s="9">
        <v>0</v>
      </c>
      <c r="K27" s="9">
        <v>0</v>
      </c>
      <c r="L27" s="9">
        <v>0</v>
      </c>
      <c r="M27" s="9">
        <v>0</v>
      </c>
      <c r="N27" s="9">
        <v>0</v>
      </c>
      <c r="O27" s="9">
        <v>0</v>
      </c>
      <c r="P27" s="9" t="str">
        <v>Completion &amp; Credentials</v>
      </c>
      <c r="Q27" s="9" t="str">
        <v>Awards &amp; Credentials</v>
      </c>
      <c r="R27" s="9" t="str">
        <v>Credit Certificates - Headcount (SCFF 16+ Units Highest Award)</v>
      </c>
      <c r="S27" s="9" t="str">
        <v>ACCJC Standards; Strong Workforce Program (SWP); Student Centered Funding Formula (SCFF); Student Equity &amp; Achievement (SEA); Vision 2030</v>
      </c>
      <c r="T27" s="9" t="str">
        <v>Y</v>
      </c>
      <c r="U27" s="9" t="str">
        <v>Y</v>
      </c>
      <c r="V27" s="24" t="str">
        <v>Y</v>
      </c>
      <c r="W27" s="24" t="str">
        <v>Y</v>
      </c>
      <c r="X27" s="24" t="str">
        <v>Y</v>
      </c>
      <c r="Y27" s="24" t="str">
        <v>Count (Headcount)</v>
      </c>
      <c r="Z27" s="9" t="str">
        <v>Headcount of students by district who were reported as receiving a Chancellor's Office approved credit certificate requiring 16+ semester units at the district in the reporting year (SCFF criteria: certificate is highest award).</v>
      </c>
      <c r="AA27" s="10" t="str">
        <v>Scheduling &amp; Operating Processes and Waitlist Management</v>
      </c>
      <c r="AB27" t="str">
        <v>Goal 4: Accelerate Completion, Credential Attainment, and Transfer</v>
      </c>
      <c r="AC27">
        <v>0</v>
      </c>
      <c r="AD27">
        <v>0</v>
      </c>
      <c r="AE27" t="str">
        <v>Pillar IV. Ensure Learning</v>
      </c>
      <c r="AF27" t="str">
        <v>Executive Director, Institutional Research</v>
      </c>
      <c r="AG27" t="str">
        <v>Tracked in EMP Metrics &amp; Dashboard and Ongoing Report Card 23-24. SCFF rules track 16+ unit credit certificates where certificate is highest award (2020-21=187; 2021-22=220; 2022-23=217; 2023-24=280; 2024-25=329). For duplicated certificates, see M-086.</v>
      </c>
    </row>
    <row r="28" spans="1:33" x14ac:dyDescent="0.25">
      <c r="A28" s="9" t="str">
        <v>M-031</v>
      </c>
      <c r="B28" s="9" t="str">
        <v>Educational Master Plan; Strategic Plan (2026-2030)</v>
      </c>
      <c r="C28" s="9" t="str">
        <v>Average Units Accumulated – All Associate Degree Earners</v>
      </c>
      <c r="D28" s="9" t="str">
        <v>DataVista Single Metric General Admit Snapshot - Average Number of Semester Units Accumulated: Associate Degree Earners (613SW)</v>
      </c>
      <c r="E28" s="9">
        <v>84.2</v>
      </c>
      <c r="F28" s="9">
        <v>83</v>
      </c>
      <c r="G28" s="9">
        <v>82.8</v>
      </c>
      <c r="H28" s="9">
        <v>81</v>
      </c>
      <c r="I28" s="9">
        <v>81</v>
      </c>
      <c r="J28" s="9">
        <v>0</v>
      </c>
      <c r="K28" s="9">
        <v>46317</v>
      </c>
      <c r="L28" s="9">
        <v>0</v>
      </c>
      <c r="M28" s="9">
        <v>0</v>
      </c>
      <c r="N28" s="9">
        <v>81</v>
      </c>
      <c r="O28" s="9">
        <v>76</v>
      </c>
      <c r="P28" s="9" t="str">
        <v>Completion &amp; Credentials</v>
      </c>
      <c r="Q28" s="9" t="str">
        <v>Average Units Accumulated</v>
      </c>
      <c r="R28" s="9" t="str">
        <v>All Associate Degree Earners (AD &amp; ADT)</v>
      </c>
      <c r="S28" s="9" t="str">
        <v>ACCJC Standards; Student Centered Funding Formula (SCFF); Vision 2030</v>
      </c>
      <c r="T28" s="9" t="str">
        <v>Y</v>
      </c>
      <c r="U28" s="9" t="str">
        <v>N</v>
      </c>
      <c r="V28" s="24" t="str">
        <v>Y</v>
      </c>
      <c r="W28" s="24" t="str">
        <v>N</v>
      </c>
      <c r="X28" s="24" t="str">
        <v>Y</v>
      </c>
      <c r="Y28" s="24" t="str">
        <v>Number (Units)</v>
      </c>
      <c r="Z28" s="9" t="str">
        <v>The average number of semester units earned for completing an associate degree.</v>
      </c>
      <c r="AA28" s="10" t="str">
        <v>Scheduling &amp; Operating Processes and Waitlist Management</v>
      </c>
      <c r="AB28" t="str">
        <v>Goal 4: Accelerate Completion, Credential Attainment, and Transfer</v>
      </c>
      <c r="AC28" t="str">
        <v>Goal 1: Success</v>
      </c>
      <c r="AD28" t="str">
        <v>1.2 Reduce time to degree and certificate attainment</v>
      </c>
      <c r="AE28" t="str">
        <v>Pillar IV. Ensure Learning</v>
      </c>
      <c r="AF28" t="str">
        <v>Executive Director, Institutional Research</v>
      </c>
      <c r="AG28" t="str">
        <v>Overlaps across all 3 documents. Strategic Plan ('Average Units of All Degree Earners', DataVista 613SW) has 2024-25 baseline = 81, Target = 76. Ongoing Report Card 23-24 lists 83 (21-22), 82 (22-23), 81 (23-24) with a Vision 2030 goal note of 67 units by 2030. EMP Dashboard ('Avg Units – All Degree Earners') lists 83.8 (22-23) and 86.5 (23-24).</v>
      </c>
    </row>
    <row r="29" spans="1:33" x14ac:dyDescent="0.25">
      <c r="A29" s="9" t="str">
        <v>M-032</v>
      </c>
      <c r="B29" s="9" t="str">
        <v>Educational Master Plan</v>
      </c>
      <c r="C29" s="9" t="str">
        <v>Average Number of Semester Units Accumulated - Associate Degree for Transfer Earners</v>
      </c>
      <c r="D29" s="9" t="str">
        <v>DataVista Single Metric General Admit Snapshot - Average Number of Semester Units Accumulated: Associate Degree for Transfer Earners (618SW)</v>
      </c>
      <c r="E29" s="9">
        <v>83.6</v>
      </c>
      <c r="F29" s="9">
        <v>81.400000000000006</v>
      </c>
      <c r="G29" s="9">
        <v>81.3</v>
      </c>
      <c r="H29" s="9">
        <v>79.8</v>
      </c>
      <c r="I29" s="9">
        <v>79.7</v>
      </c>
      <c r="J29" s="9">
        <v>0</v>
      </c>
      <c r="K29" s="9">
        <v>46317</v>
      </c>
      <c r="L29" s="9">
        <v>0</v>
      </c>
      <c r="M29" s="9">
        <v>77</v>
      </c>
      <c r="N29" s="9">
        <v>79</v>
      </c>
      <c r="O29" s="9">
        <v>0</v>
      </c>
      <c r="P29" s="9" t="str">
        <v>Completion &amp; Credentials</v>
      </c>
      <c r="Q29" s="9" t="str">
        <v>Average Units Accumulated</v>
      </c>
      <c r="R29" s="9" t="str">
        <v>Associate Degree for Transfer (ADT) Earners</v>
      </c>
      <c r="S29" s="9" t="str">
        <v>ACCJC Standards; Vision 2030</v>
      </c>
      <c r="T29" s="9" t="str">
        <v>Y</v>
      </c>
      <c r="U29" s="9" t="str">
        <v>N</v>
      </c>
      <c r="V29" s="24" t="str">
        <v>N</v>
      </c>
      <c r="W29" s="24" t="str">
        <v>N</v>
      </c>
      <c r="X29" s="24" t="str">
        <v>Y</v>
      </c>
      <c r="Y29" s="24" t="str">
        <v>Number (Units)</v>
      </c>
      <c r="Z29" s="9" t="str">
        <v>Average number of semester units earned by first-time Associate Degree for Transfer (ADT) earners in the reporting year.</v>
      </c>
      <c r="AA29" s="10" t="str">
        <v>Scheduling &amp; Operating Processes and Waitlist Management</v>
      </c>
      <c r="AB29" t="str">
        <v>Goal 4: Accelerate Completion, Credential Attainment, and Transfer</v>
      </c>
      <c r="AC29">
        <v>0</v>
      </c>
      <c r="AD29">
        <v>0</v>
      </c>
      <c r="AE29" t="str">
        <v>Pillar IV. Ensure Learning</v>
      </c>
      <c r="AF29" t="str">
        <v>Executive Director, Institutional Research</v>
      </c>
      <c r="AG29" t="str">
        <v>Overlaps between EMP Metrics ('Avg Units Accumulated for ADT Earners': 81 in 22-23, 79 in 23-24, 79 in 24-25, Target 77; EMP Dashboard lists 77 in 22-23, 79.1 in 23-24) and Ongoing Report Card 23-24 ('Vision 2030 Goal: Average Number of Semester Units Accumulated (AD-T)': 83 in 21-22, 82 in 22-23, 81 in 23-24).</v>
      </c>
    </row>
    <row r="30" spans="1:33" x14ac:dyDescent="0.25">
      <c r="A30" s="9" t="str">
        <v>M-033</v>
      </c>
      <c r="B30" s="9" t="str">
        <v>Educational Master Plan</v>
      </c>
      <c r="C30" s="9" t="str">
        <v>Average Units Accumulated – AA/AS Degree (Not for Transfer) Earners</v>
      </c>
      <c r="D30" s="9" t="str">
        <v>DataVista Single Metric General Admit Snapshot - Average Number of Semester Units Accumulated: AA/AS Degree (Not for Transfer) Earners (617SW)</v>
      </c>
      <c r="E30" s="9">
        <v>86.4</v>
      </c>
      <c r="F30" s="9">
        <v>86.3</v>
      </c>
      <c r="G30" s="9">
        <v>87.6</v>
      </c>
      <c r="H30" s="9">
        <v>87</v>
      </c>
      <c r="I30" s="9">
        <v>89.4</v>
      </c>
      <c r="J30" s="9">
        <v>0</v>
      </c>
      <c r="K30" s="9">
        <v>46317</v>
      </c>
      <c r="L30" s="9">
        <v>0</v>
      </c>
      <c r="M30" s="9">
        <v>79</v>
      </c>
      <c r="N30" s="9">
        <v>89.4</v>
      </c>
      <c r="O30" s="9">
        <v>0</v>
      </c>
      <c r="P30" s="9" t="str">
        <v>Completion &amp; Credentials</v>
      </c>
      <c r="Q30" s="9" t="str">
        <v>Average Units Accumulated</v>
      </c>
      <c r="R30" s="9" t="str">
        <v>AA/AS Degree (Not for Transfer) Earners</v>
      </c>
      <c r="S30" s="9">
        <v>0</v>
      </c>
      <c r="T30" s="9" t="str">
        <v>N</v>
      </c>
      <c r="U30" s="9" t="str">
        <v>N</v>
      </c>
      <c r="V30" s="24" t="str">
        <v>N</v>
      </c>
      <c r="W30" s="24" t="str">
        <v>N</v>
      </c>
      <c r="X30" s="24" t="str">
        <v>N</v>
      </c>
      <c r="Y30" s="24" t="str">
        <v>Number (Units)</v>
      </c>
      <c r="Z30" s="9" t="str">
        <v>Average number of semester units earned by AA/AS (not for transfer) associate degree earners in the reporting year.</v>
      </c>
      <c r="AA30" s="10" t="str">
        <v>Scheduling &amp; Operating Processes and Waitlist Management</v>
      </c>
      <c r="AB30" t="str">
        <v>Goal 4: Accelerate Completion, Credential Attainment, and Transfer</v>
      </c>
      <c r="AC30">
        <v>0</v>
      </c>
      <c r="AD30">
        <v>0</v>
      </c>
      <c r="AE30" t="str">
        <v>Pillar IV. Ensure Learning</v>
      </c>
      <c r="AF30">
        <v>0</v>
      </c>
      <c r="AG30" t="str">
        <v>Tracked in EMP Metrics sheet. Note: The original EMP sheet had a copy-paste error in the definition cell (showing transfer definition instead of AA/AS unit accumulation); corrected here.</v>
      </c>
    </row>
    <row r="31" spans="1:33" x14ac:dyDescent="0.25">
      <c r="A31" s="9" t="str">
        <v>M-034a</v>
      </c>
      <c r="B31" s="9" t="str">
        <v>Educational Master Plan</v>
      </c>
      <c r="C31" s="9" t="str">
        <v>Transfers to 4-Year Institutions (EMP / SCFF)</v>
      </c>
      <c r="D31" s="9" t="str">
        <v>SCFF file from CCCCO</v>
      </c>
      <c r="E31" s="9">
        <v>1062</v>
      </c>
      <c r="F31" s="9">
        <v>1104</v>
      </c>
      <c r="G31" s="9">
        <v>925</v>
      </c>
      <c r="H31" s="9">
        <v>895</v>
      </c>
      <c r="I31" s="9">
        <v>902</v>
      </c>
      <c r="J31" s="9">
        <v>0</v>
      </c>
      <c r="K31" s="9">
        <v>0</v>
      </c>
      <c r="L31" s="9">
        <v>0</v>
      </c>
      <c r="M31" s="9">
        <v>0</v>
      </c>
      <c r="N31" s="9">
        <v>902</v>
      </c>
      <c r="O31" s="9">
        <v>0</v>
      </c>
      <c r="P31" s="9" t="str">
        <v>Transfer</v>
      </c>
      <c r="Q31" s="9" t="str">
        <v>Transfers to 4-Year Institutions</v>
      </c>
      <c r="R31" s="9" t="str">
        <v>Total Districtwide (SCFF 12+ Units Prior Year)</v>
      </c>
      <c r="S31" s="9" t="str">
        <v>ACCJC Standards; Strong Workforce Program (SWP); Student Centered Funding Formula (SCFF); Student Equity &amp; Achievement (SEA); Vision 2030</v>
      </c>
      <c r="T31" s="9" t="str">
        <v>Y</v>
      </c>
      <c r="U31" s="9" t="str">
        <v>Y</v>
      </c>
      <c r="V31" s="24" t="str">
        <v>Y</v>
      </c>
      <c r="W31" s="24" t="str">
        <v>Y</v>
      </c>
      <c r="X31" s="24" t="str">
        <v>Y</v>
      </c>
      <c r="Y31" s="24" t="str">
        <v>Count (Headcount)</v>
      </c>
      <c r="Z31" s="9" t="str">
        <v>Headcount of students by district who earned 12+ semester units in the district in the year prior and enrolled at a 4-year institution in the reporting year.</v>
      </c>
      <c r="AA31" s="10" t="str">
        <v>Scheduling &amp; Operating Processes and Waitlist Management</v>
      </c>
      <c r="AB31" t="str">
        <v>Goal 4: Accelerate Completion, Credential Attainment, and Transfer</v>
      </c>
      <c r="AC31">
        <v>0</v>
      </c>
      <c r="AD31">
        <v>0</v>
      </c>
      <c r="AE31" t="str">
        <v>Pillar IV. Ensure Learning</v>
      </c>
      <c r="AF31" t="str">
        <v>Executive Director, Institutional Research</v>
      </c>
      <c r="AG31" t="str">
        <v>Tracked in EMP Metrics &amp; Dashboard and Ongoing Report Card 23-24. SCFF cohort definition requires 12+ units earned in the district in the prior year (2020-21=1,062; 2021-22=1,104; 2022-23=925; 2023-24=895; 2024-25=902).</v>
      </c>
    </row>
    <row r="32" spans="1:33" x14ac:dyDescent="0.25">
      <c r="A32" s="9" t="str">
        <v>M-035</v>
      </c>
      <c r="B32" s="9" t="str">
        <v>Educational Master Plan; Strategic Plan (2026-2030)</v>
      </c>
      <c r="C32" s="9" t="str">
        <v>Students Completing 9+ Career Education (CTE) Units</v>
      </c>
      <c r="D32" s="9" t="str">
        <v>2024-25 SCFF data report (EMP / RC); DataVista Single Metric General Admit Snapshot - Earned 9+ Career Education Units 402SW (Strategic Plan)</v>
      </c>
      <c r="E32" s="9">
        <v>2648</v>
      </c>
      <c r="F32" s="9">
        <v>2657</v>
      </c>
      <c r="G32" s="9">
        <v>2821</v>
      </c>
      <c r="H32" s="9">
        <v>3212</v>
      </c>
      <c r="I32" s="9">
        <v>3912</v>
      </c>
      <c r="J32" s="9">
        <v>0</v>
      </c>
      <c r="K32" s="9">
        <v>0</v>
      </c>
      <c r="L32" s="9">
        <v>0</v>
      </c>
      <c r="M32" s="9">
        <v>0</v>
      </c>
      <c r="N32" s="9">
        <v>0.13</v>
      </c>
      <c r="O32" s="9">
        <v>0.18</v>
      </c>
      <c r="P32" s="9" t="str">
        <v>Career &amp; Workforce</v>
      </c>
      <c r="Q32" s="9" t="str">
        <v>Career Education (CTE) Momentum</v>
      </c>
      <c r="R32" s="9" t="str">
        <v>Total Districtwide</v>
      </c>
      <c r="S32" s="9" t="str">
        <v>Strong Workforce Program (SWP); Student Centered Funding Formula (SCFF)</v>
      </c>
      <c r="T32" s="9" t="str">
        <v>N</v>
      </c>
      <c r="U32" s="9" t="str">
        <v>Y</v>
      </c>
      <c r="V32" s="24" t="str">
        <v>Y</v>
      </c>
      <c r="W32" s="24" t="str">
        <v>N</v>
      </c>
      <c r="X32" s="24" t="str">
        <v>N</v>
      </c>
      <c r="Y32" s="24" t="str">
        <v>Count (EMP/RC) / Percentage (SP)</v>
      </c>
      <c r="Z32" s="9" t="str">
        <v>Students who successfully completed 9 or more Career Technical Education (CTE) semester units in the selected year within the district.</v>
      </c>
      <c r="AA32" s="10" t="str">
        <v>Scheduling &amp; Operating Processes and Waitlist Management</v>
      </c>
      <c r="AB32" t="str">
        <v>Goal 4: Accelerate Completion, Credential Attainment, and Transfer</v>
      </c>
      <c r="AC32" t="str">
        <v>Goal 3: Career</v>
      </c>
      <c r="AD32" t="str">
        <v>3.1 Align programs with regional workforce needs</v>
      </c>
      <c r="AE32" t="str">
        <v>Pillar IV. Ensure Learning</v>
      </c>
      <c r="AF32" t="str">
        <v>Executive Director, Institutional Research</v>
      </c>
      <c r="AG32" t="str">
        <v>Overlaps across all 3 documents. EMP Dashboard &amp; Report Card 23-24 (SCFF) track headcount in year columns: 2,648 (20-21), 2,657 (21-22), 2,821 (22-23), 3,212 (23-24), 3,912 (24-25) (23-24 RC sheet also lists non-SCFF counts: 2,627; 2,633; 2,778; 3,163). Strategic Plan tracks proportion via DataVista (402SW): 2024-25 baseline = 13.0%, Target = 18.0%.</v>
      </c>
    </row>
  </sheetData>
  <autoFilter ref="A3:AA3" xr:uid="{5B0712D1-B1AC-4A4A-96F8-E273E2237416}"/>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7915C1B6-2271-4306-8D93-CDCEEFAFDB3B}">
          <x14:formula1>
            <xm:f>'dropdown options'!$A:$A</xm:f>
          </x14:formula1>
          <xm:sqref>B1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99B2-330E-43CD-862F-6C1F5F6523EE}">
  <dimension ref="A1:A4"/>
  <sheetViews>
    <sheetView workbookViewId="0">
      <selection activeCell="A2" sqref="A2"/>
    </sheetView>
  </sheetViews>
  <sheetFormatPr defaultRowHeight="15" x14ac:dyDescent="0.25"/>
  <cols>
    <col min="1" max="1" width="24" bestFit="1" customWidth="1"/>
  </cols>
  <sheetData>
    <row r="1" spans="1:1" x14ac:dyDescent="0.25">
      <c r="A1" t="s">
        <v>262</v>
      </c>
    </row>
    <row r="2" spans="1:1" x14ac:dyDescent="0.25">
      <c r="A2" t="s">
        <v>244</v>
      </c>
    </row>
    <row r="3" spans="1:1" x14ac:dyDescent="0.25">
      <c r="A3" t="s">
        <v>160</v>
      </c>
    </row>
    <row r="4" spans="1:1" x14ac:dyDescent="0.25">
      <c r="A4"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vt:lpstr>
      <vt:lpstr>view specific plans</vt:lpstr>
      <vt:lpstr>dropdown 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Cascio</cp:lastModifiedBy>
  <dcterms:created xsi:type="dcterms:W3CDTF">2026-10-14T18:45:56Z</dcterms:created>
  <dcterms:modified xsi:type="dcterms:W3CDTF">2026-10-23T15:00:32Z</dcterms:modified>
</cp:coreProperties>
</file>