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haffeyccd-my.sharepoint.com/personal/joseph_cascio_chaffey_edu/Documents/Research Analyst/Surveys and Reports/Combining Initiative Reports/"/>
    </mc:Choice>
  </mc:AlternateContent>
  <xr:revisionPtr revIDLastSave="154" documentId="8_{0966D836-5100-49BC-8A45-6686B0C0AF40}" xr6:coauthVersionLast="47" xr6:coauthVersionMax="47" xr10:uidLastSave="{4FBAEE48-8FD3-4E5A-83FF-FFE458D67209}"/>
  <bookViews>
    <workbookView xWindow="-120" yWindow="-120" windowWidth="29040" windowHeight="15720" xr2:uid="{BFF79AE2-E76B-441F-B8D7-30B63CE1804C}"/>
  </bookViews>
  <sheets>
    <sheet name="master" sheetId="1" r:id="rId1"/>
    <sheet name="view specific plans" sheetId="2" r:id="rId2"/>
    <sheet name="dropdown options" sheetId="5" state="hidden" r:id="rId3"/>
  </sheets>
  <definedNames>
    <definedName name="_xlnm._FilterDatabase" localSheetId="1" hidden="1">'view specific plans'!$3:$3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2" l="1" a="1"/>
  <c r="A3"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<sst xmlns="http://schemas.openxmlformats.org/spreadsheetml/2006/main" count="1274" uniqueCount="606">
  <si>
    <t>Metric ID</t>
  </si>
  <si>
    <t>Unified Metric Name</t>
  </si>
  <si>
    <t>Disaggregation / Sub-Group</t>
  </si>
  <si>
    <t>EMP Goal</t>
  </si>
  <si>
    <t>Strategic Plan Goal</t>
  </si>
  <si>
    <t>Strategic Plan Objective</t>
  </si>
  <si>
    <t>Metric Unit / Format</t>
  </si>
  <si>
    <t>Metric Definition</t>
  </si>
  <si>
    <t>Guided Pathways Alignment</t>
  </si>
  <si>
    <t>2020-2021</t>
  </si>
  <si>
    <t>2021-2022</t>
  </si>
  <si>
    <t>2022-2023</t>
  </si>
  <si>
    <t>2023-2024</t>
  </si>
  <si>
    <t>2024-2025</t>
  </si>
  <si>
    <t>2025-2026</t>
  </si>
  <si>
    <t>EMP Baseline (2025-2026 Yr 0)</t>
  </si>
  <si>
    <t>EMP Target Goal</t>
  </si>
  <si>
    <t>Strategic Plan Baseline (2024-2025 Yr 0)</t>
  </si>
  <si>
    <t>Strategic Plan Target Goal (2026-2030)</t>
  </si>
  <si>
    <t>Notes &amp; Methodology Nuances</t>
  </si>
  <si>
    <t>M-001</t>
  </si>
  <si>
    <t>Enrollment &amp; Access</t>
  </si>
  <si>
    <t>Unduplicated Annual Headcount</t>
  </si>
  <si>
    <t>Total Districtwide</t>
  </si>
  <si>
    <t>Location</t>
  </si>
  <si>
    <t>Goal 1: Expand Equitable Access and Enrollment Growth</t>
  </si>
  <si>
    <t>Count</t>
  </si>
  <si>
    <t>Total unduplicated annual student headcount across the district.</t>
  </si>
  <si>
    <t>Executive Director, Institutional Research</t>
  </si>
  <si>
    <t>MIS Datamart</t>
  </si>
  <si>
    <t>Pillar I. Clarify the Path</t>
  </si>
  <si>
    <t>Overlaps between EMP Dashboard ('Unduplicated Annual Headcount', 2022-25 YoY +7.59%) and Ongoing Report Card ('Headcount', 2020-26).</t>
  </si>
  <si>
    <t>M-002</t>
  </si>
  <si>
    <t>Course Enrollments</t>
  </si>
  <si>
    <t>Ongoing Report Card</t>
  </si>
  <si>
    <t>Total cumulative census course enrollments (duplicated seat count across terms).</t>
  </si>
  <si>
    <t>MIS Datamart; IR Dashboard</t>
  </si>
  <si>
    <t>Matches 'Enrollments' (MIS Datamart) and 'Census Enrollments By ACC (Not Headcount)' total on Ongoing Report Card.</t>
  </si>
  <si>
    <t>Full-Time Equivalent Students (FTES)</t>
  </si>
  <si>
    <t>Decimal (FTES)</t>
  </si>
  <si>
    <t>Total Full-Time Equivalent Students (FTES) generated districtwide across the reporting year.</t>
  </si>
  <si>
    <t>CCFS-320 Report; MIS Datamart</t>
  </si>
  <si>
    <t>Student Centered Funding Formula (SCFF)</t>
  </si>
  <si>
    <t>M-004</t>
  </si>
  <si>
    <t>Chino Campus FTES</t>
  </si>
  <si>
    <t>Location: Chino Campus</t>
  </si>
  <si>
    <t>FTES generated by sections whose location is coded as 'Chino Campus'.</t>
  </si>
  <si>
    <t>CCFS-320 Portal</t>
  </si>
  <si>
    <t>1% per year</t>
  </si>
  <si>
    <t>Tracked in EMP Metrics and EMP Dashboard (2022-25 YoY -3.61%, 3-Yr Trend: Down; increased to 1,367.60 in 2025-26 baseline).</t>
  </si>
  <si>
    <t>M-005</t>
  </si>
  <si>
    <t>Fontana Campus FTES</t>
  </si>
  <si>
    <t>Location: Fontana Campus</t>
  </si>
  <si>
    <t>FTES generated by the Fontana Campus whose section location is coded as 'Fontana Campus'.</t>
  </si>
  <si>
    <t>Tracked in EMP Metrics and EMP Dashboard (2022-25 YoY +3.31%, 3-Yr Trend: Down; increased to 1,348.16 in 2025-26 baseline).</t>
  </si>
  <si>
    <t>M-006</t>
  </si>
  <si>
    <t>K-12 Special Admit / Dual Enrollment FTES</t>
  </si>
  <si>
    <t>SCFF Population: K-12 Dual Enrollment</t>
  </si>
  <si>
    <t>SCFF Populations; Outreach &amp; Marketing</t>
  </si>
  <si>
    <t>Goal 5: Expand equitable access, with intentional emphasis on historically underserved communities</t>
  </si>
  <si>
    <t>Credit FTES generated by K-12 dual enrollment students in the reporting year.</t>
  </si>
  <si>
    <t>Tracked in EMP Metrics and EMP Dashboard (rebounded to 1,802.11 in 2025-26 baseline). For headcount of Special Admit students, see M-096.</t>
  </si>
  <si>
    <t>M-007</t>
  </si>
  <si>
    <t>Incarcerated Credit FTES</t>
  </si>
  <si>
    <t>SCFF Population: Incarcerated Students</t>
  </si>
  <si>
    <t>Credit FTES generated by incarcerated students eligible to attend under Education Code Section 84810.5(a).</t>
  </si>
  <si>
    <t>Tracked in EMP Metrics and EMP Dashboard.</t>
  </si>
  <si>
    <t>M-008</t>
  </si>
  <si>
    <t>Noncredit CDCP FTES</t>
  </si>
  <si>
    <t>SCFF Population: Noncredit CDCP</t>
  </si>
  <si>
    <t>SCFF Populations</t>
  </si>
  <si>
    <t>Noncredit Career Development and College Preparation (CDCP) Full-Time Equivalent Students.</t>
  </si>
  <si>
    <t>Tracked on EMP Dashboard.</t>
  </si>
  <si>
    <t>M-009</t>
  </si>
  <si>
    <t>Pell Grant Recipient Headcount</t>
  </si>
  <si>
    <t>Pell Grant Recipients</t>
  </si>
  <si>
    <t>Headcount of students by district who received a Federal Pell Grant in the district in the reporting year.</t>
  </si>
  <si>
    <t>SCFF file from CCCCO (2024-25 SCFF data report)</t>
  </si>
  <si>
    <t>Increase 1% per year</t>
  </si>
  <si>
    <t>Overlaps across EMP ('Pell Grant Recipient Count' / 'Pell Grant Recipients') and Ongoing Report Card ('Headcount of Pell Grant Recipients').</t>
  </si>
  <si>
    <t>M-010</t>
  </si>
  <si>
    <t>Promise Grant Recipient Headcount</t>
  </si>
  <si>
    <t>California College Promise Grant (CCPG) Recipients</t>
  </si>
  <si>
    <t>Headcount of students by district who received a California College Promise Grant fee waiver pursuant to ECS 76300 in the district in the reporting year.</t>
  </si>
  <si>
    <t>Overlaps across EMP ('Promise Grant Recipient Count' / 'Promise Grant Recipients') and Ongoing Report Card ('Headcount of Promise Grant Recipients').</t>
  </si>
  <si>
    <t>M-011</t>
  </si>
  <si>
    <t>AB540 Students</t>
  </si>
  <si>
    <t>Headcount of students granted a nonresident tuition exemption pursuant to Education Code Section 68130.5 (AB540).</t>
  </si>
  <si>
    <t>Overlaps across EMP Dashboard ('AB540 Students') and Ongoing Report Card ('Headcount of AB540 Students').</t>
  </si>
  <si>
    <t>M-012</t>
  </si>
  <si>
    <t>Scheduling &amp; Efficiency</t>
  </si>
  <si>
    <t>Districtwide Course Fill Rate</t>
  </si>
  <si>
    <t>Scheduling Efficiency</t>
  </si>
  <si>
    <t>Scheduling &amp; Operating Processes and Waitlist Management</t>
  </si>
  <si>
    <t>Goal 2: Increase Scheduling Efficiency</t>
  </si>
  <si>
    <t>Percentage</t>
  </si>
  <si>
    <t>Proportion of available course section seats filled at census districtwide.</t>
  </si>
  <si>
    <t>Enrollment Management Dashboard</t>
  </si>
  <si>
    <t>Pillar III. Stay on the Path</t>
  </si>
  <si>
    <t>Tracked in EMP Metrics ('Districtwide Course Fill Rate') and EMP Dashboard ('Course Fill Rate').</t>
  </si>
  <si>
    <t>M-013</t>
  </si>
  <si>
    <t>FTES/FTEF Ratio</t>
  </si>
  <si>
    <t>Ratio</t>
  </si>
  <si>
    <t>Ratio of Full-Time Equivalent Students (FTES) to Full-Time Equivalent Faculty (FTEF).</t>
  </si>
  <si>
    <t>IR Dashboard</t>
  </si>
  <si>
    <t>EMP Metrics sheet lists 12.53 / 13.14 / 13.16 / 14.09; EMP Dashboard lists 12.49 / 13.12 / 13.14 for 2022-25.</t>
  </si>
  <si>
    <t>M-014</t>
  </si>
  <si>
    <t>Percentage of Sections Online</t>
  </si>
  <si>
    <t>Section Modality Distribution</t>
  </si>
  <si>
    <t>Modality: Online</t>
  </si>
  <si>
    <t>Session Length &amp; Modality</t>
  </si>
  <si>
    <t>Goal 3: Strengthen Persistence, Retention, and Momentum</t>
  </si>
  <si>
    <t>Percentage of course sections offered fully online.</t>
  </si>
  <si>
    <t>Tracked on EMP Dashboard ('% Sections Online').</t>
  </si>
  <si>
    <t>M-015</t>
  </si>
  <si>
    <t>Percentage of Sections In-Person / Hybrid</t>
  </si>
  <si>
    <t>Modality: In-Person / Hybrid</t>
  </si>
  <si>
    <t>Percentage of course sections offered in-person or hybrid.</t>
  </si>
  <si>
    <t>Tracked on EMP Dashboard ('% Sections In-Person/Hybrid').</t>
  </si>
  <si>
    <t>M-016</t>
  </si>
  <si>
    <t>Annual Overall Course Success Rate</t>
  </si>
  <si>
    <t>Course Success Rate</t>
  </si>
  <si>
    <t>1: Success</t>
  </si>
  <si>
    <t>1.3 Improve course success rates</t>
  </si>
  <si>
    <t>The percentage of enrollments earning a grade of A, B, C, or Pass out of total graded enrollments in a given year.</t>
  </si>
  <si>
    <t>ACCJC Standards</t>
  </si>
  <si>
    <t>Overlaps across all 3 documents: Strategic Plan ('Annual Course Success Rate', 2024-25 baseline 74.1%, target 80%), EMP Dashboard ('Overall Course Success Rate'), and Ongoing Report Card ('Course Success Rates', 2025-26 = 76.08%).</t>
  </si>
  <si>
    <t>M-017</t>
  </si>
  <si>
    <t>Overall In-Person Course Success Rate</t>
  </si>
  <si>
    <t>Modality: In-Person</t>
  </si>
  <si>
    <t>The percentage of enrollments in in-person sections earning a grade of A, B, C, or Pass out of total graded in-person enrollments.</t>
  </si>
  <si>
    <t>Tracked in EMP Metrics sheet; flagged in EMP as aligned with the Strategic Plan Course Success Rate goal.</t>
  </si>
  <si>
    <t>M-018</t>
  </si>
  <si>
    <t>Overall Online Course Success Rate</t>
  </si>
  <si>
    <t>The percentage of enrollments in online sections earning a grade of A, B, C, or Pass out of total graded online enrollments.</t>
  </si>
  <si>
    <t>Tracked in EMP Metrics sheet.</t>
  </si>
  <si>
    <t>M-019</t>
  </si>
  <si>
    <t>Annual Course Retention Rate</t>
  </si>
  <si>
    <t>Course Retention Rate</t>
  </si>
  <si>
    <t>The percentage of enrollments retained to the end of the term (not withdrawing with a 'W' grade) out of total graded enrollments.</t>
  </si>
  <si>
    <t>Tracked on Ongoing Report Card ('Course Retention Rates').</t>
  </si>
  <si>
    <t>Persistence Rate</t>
  </si>
  <si>
    <t>1.2 Reduce time to degree and certificate attainment</t>
  </si>
  <si>
    <t>Student Equity &amp; Achievement (SEA)</t>
  </si>
  <si>
    <t>M-021</t>
  </si>
  <si>
    <t>Momentum &amp; Guided Pathways</t>
  </si>
  <si>
    <t>Percentage of Unique Enrolled Students with Comprehensive Ed Plan (SEP)</t>
  </si>
  <si>
    <t>Comprehensive Student Education Plan (SEP)</t>
  </si>
  <si>
    <t>Rate (% of Unique Enrolled Students)</t>
  </si>
  <si>
    <t>Percentage of unique enrolled students who have a completed Comprehensive Student Education Plan (SEP).</t>
  </si>
  <si>
    <t>Informer (Calculated: Unique Enrolled Students with Comp Ed Plan / Unduplicated Headcount)</t>
  </si>
  <si>
    <t>Pillar I. Clarify the Path; Pillar II. Enter the Path</t>
  </si>
  <si>
    <t>Overlaps between EMP Dashboard ('% Students with Comp. SEP') and Ongoing Report Card ('Percentage of Unique Enrolled Students with Comprehensive Ed Plan'). Note: 23-24 RC sheet had slightly different historical percentages (67.5%, 60.2%, 58.1%).</t>
  </si>
  <si>
    <t>M-022</t>
  </si>
  <si>
    <t>Count of Unique Enrolled Students with Comprehensive Ed Plan</t>
  </si>
  <si>
    <t>Unduplicated count of enrolled students who received a Comprehensive Student Education Plan.</t>
  </si>
  <si>
    <t>Informer</t>
  </si>
  <si>
    <t>Tracked on Ongoing Report Card Main sheet.</t>
  </si>
  <si>
    <t>M-023</t>
  </si>
  <si>
    <t>Count of All Comprehensive Ed Plans Given (Total Duplicated)</t>
  </si>
  <si>
    <t>All Plans Given (Includes Non-Enrolled &amp; Multiple Visits)</t>
  </si>
  <si>
    <t>Total count of all Comprehensive Education Plans given, including non-enrolled students and students seen multiple times.</t>
  </si>
  <si>
    <t>Tracked on Ongoing Report Card.</t>
  </si>
  <si>
    <t>M-024</t>
  </si>
  <si>
    <t>Completion of Transfer-Level Math in First Year</t>
  </si>
  <si>
    <t>First-Year Transfer-Level Math &amp; English Momentum</t>
  </si>
  <si>
    <t>Transfer-Level Math Only</t>
  </si>
  <si>
    <t>Count (RC) / Percentage (SP)</t>
  </si>
  <si>
    <t>Students who completed transfer-level math in their first academic year of credit enrollment (aligned with SCFF).</t>
  </si>
  <si>
    <t>DataVista - Completed Transfer-Level Math: Aligned with SCFF (502SW)</t>
  </si>
  <si>
    <t>Pillar II. Enter the Path</t>
  </si>
  <si>
    <t>Overlaps between Ongoing Report Card 23-24 (tracks headcount in year columns: 2020-21=897, 2021-22=839, 2022-23=1,085, 2023-24=1,086) and Strategic Plan (tracks proportion via DataVista 502SW: 2024-25 baseline = 15.0%, Target = 20.0%).</t>
  </si>
  <si>
    <t>M-025</t>
  </si>
  <si>
    <t>Completion of Transfer-Level English in First Year</t>
  </si>
  <si>
    <t>Transfer-Level English Only</t>
  </si>
  <si>
    <t>Students who completed transfer-level English in their first academic year of credit enrollment (aligned with SCFF).</t>
  </si>
  <si>
    <t>DataVista - Completed Transfer-Level English: Aligned with SCFF (503SW)</t>
  </si>
  <si>
    <t>Overlaps between Ongoing Report Card 23-24 (tracks headcount in year columns: 2020-21=1,874, 2021-22=1,929, 2022-23=2,056, 2023-24=2,435) and Strategic Plan (tracks proportion via DataVista 503SW: 2024-25 baseline = 31.0%, Target = 35.0%).</t>
  </si>
  <si>
    <t>M-026</t>
  </si>
  <si>
    <t>Completion of Both Transfer-Level Math &amp; English in First Year</t>
  </si>
  <si>
    <t>Both Transfer-Level Math &amp; English (Non-Special Admit)</t>
  </si>
  <si>
    <t>Headcount of non-special admit students who completed both transfer-level math and English in their first academic year.</t>
  </si>
  <si>
    <t>2024-25 SCFF data report; DataVista</t>
  </si>
  <si>
    <t>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t>
  </si>
  <si>
    <t>M-027</t>
  </si>
  <si>
    <t>Completion &amp; Credentials</t>
  </si>
  <si>
    <t>Unduplicated Award Earners (All Degrees and Certificates)</t>
  </si>
  <si>
    <t>Awards &amp; Credentials</t>
  </si>
  <si>
    <t>Total Unduplicated Student Headcount</t>
  </si>
  <si>
    <t>Strategic Plan (2026-2030)</t>
  </si>
  <si>
    <t>1.1 Increase degree and certificate completion</t>
  </si>
  <si>
    <t>Count (Headcount)</t>
  </si>
  <si>
    <t>The number of students who earned any award in an academic year. Students who earned multiple awards in the same year are counted once.</t>
  </si>
  <si>
    <t>IR Dashboard - Awards (Degrees and Certificates)</t>
  </si>
  <si>
    <t>Pillar IV. Ensure Learning</t>
  </si>
  <si>
    <t>Tracked in Strategic Plan (unduplicated student headcount across all awards). For total duplicated awards earned, see M-100.</t>
  </si>
  <si>
    <t>Goal 4: Accelerate Completion, Credential Attainment, and Transfer</t>
  </si>
  <si>
    <t>M-029</t>
  </si>
  <si>
    <t>Associate Degree (AA/AS Not for Transfer) Earners (Headcount)</t>
  </si>
  <si>
    <t>Associate Degree (AA/AS) - Headcount</t>
  </si>
  <si>
    <t>Headcount of students who received a Chancellor's Office approved associate degree (AA/AS) and were enrolled in the reporting year, excluding those meeting SCFF ADT criteria.</t>
  </si>
  <si>
    <t>Overlaps between EMP ('Associate Degree Earners') and Ongoing Report Card 23-24 ('Headcount of Associate Degree Earners'). Counts highest award earned per student under SCFF rules. For total duplicated AA/AS awards, see M-104.</t>
  </si>
  <si>
    <t>M-031</t>
  </si>
  <si>
    <t>Average Units Accumulated – All Associate Degree Earners</t>
  </si>
  <si>
    <t>Average Units Accumulated</t>
  </si>
  <si>
    <t>All Associate Degree Earners (AD &amp; ADT)</t>
  </si>
  <si>
    <t>Number (Units)</t>
  </si>
  <si>
    <t>The average number of semester units earned for completing an associate degree.</t>
  </si>
  <si>
    <t>DataVista - Average Number of Semester Units Accumulated: Associate Degree Earners (613SW)</t>
  </si>
  <si>
    <t>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t>
  </si>
  <si>
    <t>M-032</t>
  </si>
  <si>
    <t>Average Units Accumulated – ADT Earners</t>
  </si>
  <si>
    <t>Associate Degree for Transfer (ADT) Earners</t>
  </si>
  <si>
    <t>Average number of semester units earned by first-time Associate Degree for Transfer (ADT) earners in the reporting year.</t>
  </si>
  <si>
    <t>DataVista Dashboard</t>
  </si>
  <si>
    <t>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t>
  </si>
  <si>
    <t>M-033</t>
  </si>
  <si>
    <t>Average Units Accumulated – AA/AS Degree (Not for Transfer) Earners</t>
  </si>
  <si>
    <t>AA/AS Degree (Not for Transfer) Earners</t>
  </si>
  <si>
    <t>Average number of semester units earned by AA/AS (not for transfer) associate degree earners in the reporting year.</t>
  </si>
  <si>
    <t>Tracked in EMP Metrics sheet. Note: The original EMP sheet had a copy-paste error in the definition cell (showing transfer definition instead of AA/AS unit accumulation); corrected here.</t>
  </si>
  <si>
    <t>Transfer</t>
  </si>
  <si>
    <t>Transfers to 4-Year Institutions</t>
  </si>
  <si>
    <t>1: Success; 3: Career</t>
  </si>
  <si>
    <t>1.4 Increase transfer rates to four-year institutions; 3.2 Strengthen career pathways</t>
  </si>
  <si>
    <t>M-035</t>
  </si>
  <si>
    <t>Career &amp; Workforce</t>
  </si>
  <si>
    <t>Students Completing 9+ Career Education (CTE) Units</t>
  </si>
  <si>
    <t>Career Education (CTE) Momentum</t>
  </si>
  <si>
    <t>3: Career</t>
  </si>
  <si>
    <t>3.1 Align programs with regional workforce needs</t>
  </si>
  <si>
    <t>Count (EMP/RC) / Percentage (SP)</t>
  </si>
  <si>
    <t>Students who successfully completed 9 or more Career Technical Education (CTE) semester units in the selected year within the district.</t>
  </si>
  <si>
    <t>2024-25 SCFF data report (EMP / RC); DataVista - Earned 9+ Career Education Units 402SW (Strategic Plan)</t>
  </si>
  <si>
    <t>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t>
  </si>
  <si>
    <t>M-036</t>
  </si>
  <si>
    <t>Attained a Regional Living Wage</t>
  </si>
  <si>
    <t>Workforce Outcomes</t>
  </si>
  <si>
    <t>3.1 Align programs with regional workforce needs; 3.4 Support upward career and economic mobility</t>
  </si>
  <si>
    <t>Students who attained the district county living wage for a single adult measured immediately following the academic year of exit.</t>
  </si>
  <si>
    <t>DataVista - Attained Living Wage 802SW (Strategic Plan); 2024-25 SCFF data report (Ongoing Report Card)</t>
  </si>
  <si>
    <t>Overlaps between Ongoing Report Card 23-24 (tracks SCFF headcount in year columns: 2020-21=3,346; 2021-22=3,589; 2022-23=3,805; 2023-24=2,114) and Strategic Plan (tracks DataVista 802SW proportion: baseline = 45.0% as of 2023-24, Target = 56.0%).</t>
  </si>
  <si>
    <t>M-037</t>
  </si>
  <si>
    <t>Professional Development Participation Rate</t>
  </si>
  <si>
    <t>Professional Learning</t>
  </si>
  <si>
    <t>All Employees</t>
  </si>
  <si>
    <t>2: Learning</t>
  </si>
  <si>
    <t>2.1 Expand professional learning opportunities</t>
  </si>
  <si>
    <t>The percentage of employees that responded 'Yes' to: 'Have you participated in any Chaffey-sponsored professional learning activities in the past year?'</t>
  </si>
  <si>
    <t>Executive Director, Institutional Research; The Professional Learning Committee</t>
  </si>
  <si>
    <t>Professional Development Needs Assessment Survey, Institutional Research</t>
  </si>
  <si>
    <t>Named 'Data from the professional development needs assessment survey' in Strategic Plan; baseline data (71.0%) is as of Spring 2026.</t>
  </si>
  <si>
    <t>M-038</t>
  </si>
  <si>
    <t>ACES ILO Assessment Rate</t>
  </si>
  <si>
    <t>Outcomes &amp; Assessment</t>
  </si>
  <si>
    <t>Course Sections Assessing ILOs</t>
  </si>
  <si>
    <t>2.2 Optimize the outcomes and assessment process</t>
  </si>
  <si>
    <t>The percentage of sections assessing ACES Institutional Learning Outcomes (ILOs) in a given year.</t>
  </si>
  <si>
    <t>Canvas</t>
  </si>
  <si>
    <t>Tracked in Strategic Plan.</t>
  </si>
  <si>
    <t>M-039</t>
  </si>
  <si>
    <t>Students Awarded at Least One ACES Skill Token</t>
  </si>
  <si>
    <t>Students with &gt;=1 Skill Token</t>
  </si>
  <si>
    <t>2.3 Increase learning outcomes attainment</t>
  </si>
  <si>
    <t>The percentage of students awarded at least one ACES skill token in a given year.</t>
  </si>
  <si>
    <t>Administrator, Instructional Systems and Pathways Innovation</t>
  </si>
  <si>
    <t>Named 'Headcount of students awarded at least one skill token' in Strategic Plan, but defined and measured as a percentage (49.003%).</t>
  </si>
  <si>
    <t>M-040</t>
  </si>
  <si>
    <t>Number of Credit for Prior Learning (CPL) Units Awarded</t>
  </si>
  <si>
    <t>Credit for Prior Learning (CPL)</t>
  </si>
  <si>
    <t>Total CPL Units Transcripted</t>
  </si>
  <si>
    <t>Count (Units)</t>
  </si>
  <si>
    <t>The total number of academic credits or units officially transcripted for prior learning experiences in a given year.</t>
  </si>
  <si>
    <t>M-041</t>
  </si>
  <si>
    <t>M-042</t>
  </si>
  <si>
    <t>Campus Climate &amp; Equity</t>
  </si>
  <si>
    <t>4: Equity</t>
  </si>
  <si>
    <t>M-043</t>
  </si>
  <si>
    <t>Access to Identity-Affirming Support Services</t>
  </si>
  <si>
    <t>Students of Color &amp; All Students</t>
  </si>
  <si>
    <t>4.2 Provide resources for disproportionately impacted students</t>
  </si>
  <si>
    <t>The percentage of students of color that responded 'Agree' or 'Strongly Agree' to: 'I had access to culturally relevant or identity-affirming support services that contributed to my sense of belonging.'</t>
  </si>
  <si>
    <t>Grad Exit (Award Attainment) Survey Dashboard, Institutional Research</t>
  </si>
  <si>
    <t>71.3% (Students of Color) / 69.9% (All Students)</t>
  </si>
  <si>
    <t>Baseline reports both 71.3% (students of color) and 69.9% (all students).</t>
  </si>
  <si>
    <t>M-044</t>
  </si>
  <si>
    <t>M-045</t>
  </si>
  <si>
    <t>M-046</t>
  </si>
  <si>
    <t>M-047</t>
  </si>
  <si>
    <t>M-048</t>
  </si>
  <si>
    <t>M-049</t>
  </si>
  <si>
    <t>M-050</t>
  </si>
  <si>
    <t>Enrollment &amp; Access (Term Status)</t>
  </si>
  <si>
    <t>Fall Term Headcount – Total</t>
  </si>
  <si>
    <t>Part-Time/Full-Time Status By Term</t>
  </si>
  <si>
    <t>Fall Terms: Total</t>
  </si>
  <si>
    <t>Total Fall term student headcount.</t>
  </si>
  <si>
    <t>M-051</t>
  </si>
  <si>
    <t>Fall Term Headcount – Full-Time (12+ Units)</t>
  </si>
  <si>
    <t>Fall Terms: Full-Time (12+ Units)</t>
  </si>
  <si>
    <t>Fall term students enrolled in 12 or more credit units.</t>
  </si>
  <si>
    <t>M-052</t>
  </si>
  <si>
    <t>Fall Term Headcount – Part-Time (&lt;12 Units)</t>
  </si>
  <si>
    <t>Fall Terms: Part-Time (&lt;12 Units)</t>
  </si>
  <si>
    <t>Fall term students enrolled in fewer than 12 credit units.</t>
  </si>
  <si>
    <t>M-053</t>
  </si>
  <si>
    <t>Fall Term Headcount – Non-Credit</t>
  </si>
  <si>
    <t>Fall Terms: Non-Credit</t>
  </si>
  <si>
    <t>Fall term students enrolled exclusively in non-credit courses.</t>
  </si>
  <si>
    <t>M-054</t>
  </si>
  <si>
    <t>Spring Term Headcount – Total</t>
  </si>
  <si>
    <t>Spring Terms: Total</t>
  </si>
  <si>
    <t>Total Spring term student headcount.</t>
  </si>
  <si>
    <t>M-055</t>
  </si>
  <si>
    <t>Spring Term Headcount – Full-Time (12+ Units)</t>
  </si>
  <si>
    <t>Spring Terms: Full-Time (12+ Units)</t>
  </si>
  <si>
    <t>Spring term students enrolled in 12 or more credit units.</t>
  </si>
  <si>
    <t>M-056</t>
  </si>
  <si>
    <t>Spring Term Headcount – Part-Time (&lt;12 Units)</t>
  </si>
  <si>
    <t>Spring Terms: Part-Time (&lt;12 Units)</t>
  </si>
  <si>
    <t>Spring term students enrolled in fewer than 12 credit units.</t>
  </si>
  <si>
    <t>M-057</t>
  </si>
  <si>
    <t>Spring Term Headcount – Non-Credit</t>
  </si>
  <si>
    <t>Spring Terms: Non-Credit</t>
  </si>
  <si>
    <t>Spring term students enrolled exclusively in non-credit courses.</t>
  </si>
  <si>
    <t>M-058</t>
  </si>
  <si>
    <t>Enrollment &amp; Access (CVC)</t>
  </si>
  <si>
    <t>California Virtual College (CVC) – Headcount</t>
  </si>
  <si>
    <t>California Virtual College</t>
  </si>
  <si>
    <t>Unduplicated headcount of students enrolled via California Virtual College (CVC).</t>
  </si>
  <si>
    <t>Filter active program by California Virtual College.</t>
  </si>
  <si>
    <t>M-059</t>
  </si>
  <si>
    <t>California Virtual College (CVC) – Enrollments</t>
  </si>
  <si>
    <t>CVC Enrollments</t>
  </si>
  <si>
    <t>Total course enrollments via California Virtual College (CVC).</t>
  </si>
  <si>
    <t>M-060</t>
  </si>
  <si>
    <t>M-061</t>
  </si>
  <si>
    <t>M-062</t>
  </si>
  <si>
    <t>M-063</t>
  </si>
  <si>
    <t>M-064</t>
  </si>
  <si>
    <t>M-065</t>
  </si>
  <si>
    <t>M-066</t>
  </si>
  <si>
    <t>M-067</t>
  </si>
  <si>
    <t>Student Demographics (Gender)</t>
  </si>
  <si>
    <t>Headcount by Gender – Female</t>
  </si>
  <si>
    <t>Gender: Female</t>
  </si>
  <si>
    <t>Unduplicated annual headcount of Female students.</t>
  </si>
  <si>
    <t>Same as Headcount row in MIS Datamart, disaggregated by Gender.</t>
  </si>
  <si>
    <t>M-068</t>
  </si>
  <si>
    <t>Headcount by Gender – Male</t>
  </si>
  <si>
    <t>Gender: Male</t>
  </si>
  <si>
    <t>Unduplicated annual headcount of Male students.</t>
  </si>
  <si>
    <t>M-069</t>
  </si>
  <si>
    <t>Headcount by Gender – Non-Binary</t>
  </si>
  <si>
    <t>Gender: Non-Binary</t>
  </si>
  <si>
    <t>Unduplicated annual headcount of Non-Binary students.</t>
  </si>
  <si>
    <t>M-070</t>
  </si>
  <si>
    <t>Headcount by Gender – Unknown</t>
  </si>
  <si>
    <t>Gender: Unknown</t>
  </si>
  <si>
    <t>Unduplicated annual headcount of students with Unknown/Unreported gender.</t>
  </si>
  <si>
    <t>M-071</t>
  </si>
  <si>
    <t>Student Demographics (Age)</t>
  </si>
  <si>
    <t>Headcount by Age – 19 or Younger</t>
  </si>
  <si>
    <t>Age: 19 or younger</t>
  </si>
  <si>
    <t>Unduplicated annual headcount of students aged 19 or younger.</t>
  </si>
  <si>
    <t>Same as Headcount row in MIS Datamart, disaggregated by Age Group.</t>
  </si>
  <si>
    <t>M-072</t>
  </si>
  <si>
    <t>Headcount by Age – 20 to 24</t>
  </si>
  <si>
    <t>Age: 20 - 24</t>
  </si>
  <si>
    <t>Unduplicated annual headcount of students aged 20 to 24.</t>
  </si>
  <si>
    <t>M-073</t>
  </si>
  <si>
    <t>Headcount by Age – 25 to 29</t>
  </si>
  <si>
    <t>Age: 25 - 29</t>
  </si>
  <si>
    <t>Unduplicated annual headcount of students aged 25 to 29.</t>
  </si>
  <si>
    <t>M-074</t>
  </si>
  <si>
    <t>Headcount by Age – 30 to 34</t>
  </si>
  <si>
    <t>Age: 30 - 34</t>
  </si>
  <si>
    <t>Unduplicated annual headcount of students aged 30 to 34.</t>
  </si>
  <si>
    <t>M-075</t>
  </si>
  <si>
    <t>Headcount by Age – 35 to 39</t>
  </si>
  <si>
    <t>Age: 35 - 39</t>
  </si>
  <si>
    <t>Unduplicated annual headcount of students aged 35 to 39.</t>
  </si>
  <si>
    <t>M-076</t>
  </si>
  <si>
    <t>Headcount by Age – 40 to 49</t>
  </si>
  <si>
    <t>Age: 40 - 49</t>
  </si>
  <si>
    <t>Unduplicated annual headcount of students aged 40 to 49.</t>
  </si>
  <si>
    <t>M-077</t>
  </si>
  <si>
    <t>Headcount by Age – 50 or Older</t>
  </si>
  <si>
    <t>Age: 50 or older</t>
  </si>
  <si>
    <t>Unduplicated annual headcount of students aged 50 or older.</t>
  </si>
  <si>
    <t>M-078</t>
  </si>
  <si>
    <t>Headcount by Age – Unknown</t>
  </si>
  <si>
    <t>Age: Unknown</t>
  </si>
  <si>
    <t>Unduplicated annual headcount of students with Unknown age.</t>
  </si>
  <si>
    <t>M-079</t>
  </si>
  <si>
    <t>Student Demographics (Ethnicity)</t>
  </si>
  <si>
    <t>Headcount by Ethnicity – African-American</t>
  </si>
  <si>
    <t>Ethnicity: African-American</t>
  </si>
  <si>
    <t>Unduplicated annual headcount of African-American students.</t>
  </si>
  <si>
    <t>Same as Headcount row in MIS Datamart, disaggregated by Ethnicity.</t>
  </si>
  <si>
    <t>M-080</t>
  </si>
  <si>
    <t>Headcount by Ethnicity – American Indian/Alaskan Native</t>
  </si>
  <si>
    <t>Ethnicity: American Indian/Alaskan Native</t>
  </si>
  <si>
    <t>Unduplicated annual headcount of American Indian/Alaskan Native students.</t>
  </si>
  <si>
    <t>M-081</t>
  </si>
  <si>
    <t>Headcount by Ethnicity – Asian</t>
  </si>
  <si>
    <t>Ethnicity: Asian</t>
  </si>
  <si>
    <t>Unduplicated annual headcount of Asian students.</t>
  </si>
  <si>
    <t>M-082</t>
  </si>
  <si>
    <t>Headcount by Ethnicity – Filipino</t>
  </si>
  <si>
    <t>Ethnicity: Filipino</t>
  </si>
  <si>
    <t>Unduplicated annual headcount of Filipino students.</t>
  </si>
  <si>
    <t>M-083</t>
  </si>
  <si>
    <t>Headcount by Ethnicity – Hispanic</t>
  </si>
  <si>
    <t>Ethnicity: Hispanic</t>
  </si>
  <si>
    <t>Unduplicated annual headcount of Hispanic students.</t>
  </si>
  <si>
    <t>M-084</t>
  </si>
  <si>
    <t>Headcount by Ethnicity – Multi-Ethnicity</t>
  </si>
  <si>
    <t>Ethnicity: Multi-Ethnicity</t>
  </si>
  <si>
    <t>Unduplicated annual headcount of Multi-Ethnicity students.</t>
  </si>
  <si>
    <t>M-085</t>
  </si>
  <si>
    <t>Headcount by Ethnicity – Pacific Islander</t>
  </si>
  <si>
    <t>Ethnicity: Pacific Islander</t>
  </si>
  <si>
    <t>Unduplicated annual headcount of Pacific Islander students.</t>
  </si>
  <si>
    <t>M-086</t>
  </si>
  <si>
    <t>Headcount by Ethnicity – Unknown</t>
  </si>
  <si>
    <t>Ethnicity: Unknown</t>
  </si>
  <si>
    <t>Unduplicated annual headcount of students with Unknown ethnicity.</t>
  </si>
  <si>
    <t>M-087</t>
  </si>
  <si>
    <t>Headcount by Ethnicity – White Non-Hispanic</t>
  </si>
  <si>
    <t>Ethnicity: White Non-Hispanic</t>
  </si>
  <si>
    <t>Unduplicated annual headcount of White Non-Hispanic students.</t>
  </si>
  <si>
    <t>M-088</t>
  </si>
  <si>
    <t>Special Populations</t>
  </si>
  <si>
    <t>Special Populations – DSPS Headcount</t>
  </si>
  <si>
    <t>Population: DSPS</t>
  </si>
  <si>
    <t>Unduplicated annual headcount of Disabled Students Programs and Services (DSPS) students.</t>
  </si>
  <si>
    <t>Note: 23-24 RC sheet listed 1,823 for 2023-24; Main cumulative sheet lists 1,148.</t>
  </si>
  <si>
    <t>M-089</t>
  </si>
  <si>
    <t>Special Populations – EOPS Headcount</t>
  </si>
  <si>
    <t>Population: EOPS</t>
  </si>
  <si>
    <t>Unduplicated annual headcount of Extended Opportunity Programs and Services (EOPS) students.</t>
  </si>
  <si>
    <t>Note: 23-24 RC sheet listed 1,950 for 2023-24; Main cumulative sheet lists 1,016.</t>
  </si>
  <si>
    <t>M-090</t>
  </si>
  <si>
    <t>Special Populations – First Generation Students Headcount</t>
  </si>
  <si>
    <t>Population: First Generation Students</t>
  </si>
  <si>
    <t>Unduplicated annual headcount of First Generation college students.</t>
  </si>
  <si>
    <t>Note: 23-24 RC sheet listed 17,147 for 2023-24; Main cumulative sheet lists 10,577.</t>
  </si>
  <si>
    <t>M-091</t>
  </si>
  <si>
    <t>Special Populations – Formerly Incarcerated Headcount</t>
  </si>
  <si>
    <t>Population: Formerly Incarcerated</t>
  </si>
  <si>
    <t>Unduplicated annual headcount of Formerly Incarcerated students.</t>
  </si>
  <si>
    <t>Note: 23-24 RC sheet listed 93 for 2023-24; Main cumulative sheet lists 59.</t>
  </si>
  <si>
    <t>M-092</t>
  </si>
  <si>
    <t>Special Populations – Foster Youth Headcount</t>
  </si>
  <si>
    <t>Population: Foster Youth</t>
  </si>
  <si>
    <t>Unduplicated annual headcount of current or former Foster Youth students.</t>
  </si>
  <si>
    <t>Note: 23-24 RC sheet listed 920 for 2023-24; Main cumulative sheet lists 569.</t>
  </si>
  <si>
    <t>M-093</t>
  </si>
  <si>
    <t>Special Populations – Puente Headcount</t>
  </si>
  <si>
    <t>Population: Puente</t>
  </si>
  <si>
    <t>Unduplicated annual headcount of Puente program students.</t>
  </si>
  <si>
    <t>Note: 23-24 RC sheet listed 105 for 2023-24; Main cumulative sheet lists 49.</t>
  </si>
  <si>
    <t>M-094</t>
  </si>
  <si>
    <t>Special Populations – Umoja Headcount</t>
  </si>
  <si>
    <t>Population: Umoja</t>
  </si>
  <si>
    <t>Unduplicated annual headcount of Umoja program students.</t>
  </si>
  <si>
    <t>Note: 23-24 RC sheet listed 707 for 2023-24; Main cumulative sheet lists 376.</t>
  </si>
  <si>
    <t>M-095</t>
  </si>
  <si>
    <t>Special Populations – Veteran Headcount</t>
  </si>
  <si>
    <t>Population: Veteran</t>
  </si>
  <si>
    <t>Unduplicated annual headcount of Veteran students.</t>
  </si>
  <si>
    <t>Note: 23-24 RC sheet listed 374 for 2023-24; Main cumulative sheet lists 199.</t>
  </si>
  <si>
    <t>Special Populations – Special Admit (High School Student) Headcount</t>
  </si>
  <si>
    <t>Population: Special Admit (High School)</t>
  </si>
  <si>
    <t>Unduplicated annual headcount of K-12 Special Admit (high school dual/concurrent enrollment) students.</t>
  </si>
  <si>
    <t>Note: 23-24 RC sheet listed 8,125 for 2023-24; Main cumulative sheet lists 5,637. For K-12 Dual Enrollment FTES, see M-006.</t>
  </si>
  <si>
    <t>Transfer (By Segment)</t>
  </si>
  <si>
    <t>Transfers to a California State University (CSU)</t>
  </si>
  <si>
    <t>Destination: CSU</t>
  </si>
  <si>
    <t>Number of students transferring to a California State University (CSU) campus.</t>
  </si>
  <si>
    <t>CSU Dashboard</t>
  </si>
  <si>
    <t>Transfers to a University of California (UC)</t>
  </si>
  <si>
    <t>Destination: UC</t>
  </si>
  <si>
    <t>Number of students transferring to a University of California (UC) campus.</t>
  </si>
  <si>
    <t>UC Dashboard</t>
  </si>
  <si>
    <t>Transfers to In-State Private (ISP) and Out-of-State (OOS) Baccalaureate Institutions</t>
  </si>
  <si>
    <t>Destination: ISP &amp; OOS</t>
  </si>
  <si>
    <t>Number of students transferring to In-State Private (ISP) or Out-of-State (OOS) four-year institutions.</t>
  </si>
  <si>
    <t>Main sheet lists 801 (21-22), 798 (22-23), 706 (23-24), 763 (24-25); 23-24 RC sheet lists 392 (20-21), 380 (21-22), 371 (22-23), 284 (23-24).</t>
  </si>
  <si>
    <t>Completion &amp; Credentials (Duplicated Awards)</t>
  </si>
  <si>
    <t>Total Awards Earned (Duplicated Award Count)</t>
  </si>
  <si>
    <t>Awards Earned (Not Headcount)</t>
  </si>
  <si>
    <t>Total All Awards</t>
  </si>
  <si>
    <t>Count (Awards)</t>
  </si>
  <si>
    <t>Total number of degrees and certificates awarded across the academic year (duplicated across students earning multiple awards).</t>
  </si>
  <si>
    <t>Distinct from M-027 (Unduplicated Award Earners Headcount).</t>
  </si>
  <si>
    <t>Total Certificates Awarded (Duplicated Count)</t>
  </si>
  <si>
    <t>Certificates: Total</t>
  </si>
  <si>
    <t>Total credit certificates awarded (duplicated count).</t>
  </si>
  <si>
    <t>Distinct from M-030 (Unduplicated Certificate Earners).</t>
  </si>
  <si>
    <t>16+ Unit Certificates Awarded (Duplicated Count)</t>
  </si>
  <si>
    <t>Certificates: 16+ Units</t>
  </si>
  <si>
    <t>Total credit certificates requiring 16 or more semester units awarded (duplicated count).</t>
  </si>
  <si>
    <t>Less than 16 Unit Certificates Awarded (Duplicated Count)</t>
  </si>
  <si>
    <t>Certificates: &lt;16 Units</t>
  </si>
  <si>
    <t>Total credit certificates requiring fewer than 16 semester units awarded (duplicated count).</t>
  </si>
  <si>
    <t>Associate Degrees (AA/AS) Awarded (Duplicated Count)</t>
  </si>
  <si>
    <t>Associate Degrees (AA/AS): Total</t>
  </si>
  <si>
    <t>Total local Associate of Arts (AA) and Associate of Science (AS) degrees awarded (duplicated count).</t>
  </si>
  <si>
    <t>Distinct from M-029 (Unduplicated AA/AS Earners Headcount).</t>
  </si>
  <si>
    <t>Associate of Science (AS) Degrees Awarded (Duplicated Count)</t>
  </si>
  <si>
    <t>Associate Degrees: AS</t>
  </si>
  <si>
    <t>Total local Associate of Science (AS) degrees awarded (duplicated count).</t>
  </si>
  <si>
    <t>Associate of Arts (AA) Degrees Awarded (Duplicated Count)</t>
  </si>
  <si>
    <t>Associate Degrees: AA</t>
  </si>
  <si>
    <t>Total local Associate of Arts (AA) degrees awarded (duplicated count).</t>
  </si>
  <si>
    <t>Associate Degrees for Transfer (ADT) Awarded (Duplicated Count)</t>
  </si>
  <si>
    <t>Associate Degrees for Transfer (ADT): Total</t>
  </si>
  <si>
    <t>Total Associate Degrees for Transfer (AA-T and AS-T) awarded (duplicated count).</t>
  </si>
  <si>
    <t>Distinct from M-028 (Unduplicated ADT Earners Headcount).</t>
  </si>
  <si>
    <t>Associate in Science for Transfer (AS-T) Awarded (Duplicated Count)</t>
  </si>
  <si>
    <t>Associate Degrees for Transfer: AS-T</t>
  </si>
  <si>
    <t>Total Associate in Science for Transfer (AS-T) degrees awarded (duplicated count).</t>
  </si>
  <si>
    <t>Associate in Arts for Transfer (AA-T) Awarded (Duplicated Count)</t>
  </si>
  <si>
    <t>Associate Degrees for Transfer: AA-T</t>
  </si>
  <si>
    <t>Total Associate in Arts for Transfer (AA-T) degrees awarded (duplicated count).</t>
  </si>
  <si>
    <t>Non-Credit Awards Earned (Duplicated Count)</t>
  </si>
  <si>
    <t>Non-Credit Certificates/Awards</t>
  </si>
  <si>
    <t>Total non-credit certificates/awards earned (duplicated count).</t>
  </si>
  <si>
    <t>Educational Master Plan</t>
  </si>
  <si>
    <t>SCFF file from CCCCO</t>
  </si>
  <si>
    <t>Educational Master Plan; Ongoing Report Card</t>
  </si>
  <si>
    <t>Educational Master Plan; Strategic Plan (2026-2030); Ongoing Report Card</t>
  </si>
  <si>
    <t>Strategic Plan (2026-2030); Ongoing Report Card</t>
  </si>
  <si>
    <t>Student Centered Funding Formula (SCFF); Vision 2030</t>
  </si>
  <si>
    <t>ACCJC Standards; Student Centered Funding Formula (SCFF); Vision 2030</t>
  </si>
  <si>
    <t>ACCJC Standards; Strong Workforce Program (SWP); Student Centered Funding Formula (SCFF); Student Equity &amp; Achievement (SEA); Vision 2030</t>
  </si>
  <si>
    <t>ACCJC Standards; Vision 2030</t>
  </si>
  <si>
    <t>Strong Workforce Program (SWP); Student Centered Funding Formula (SCFF)</t>
  </si>
  <si>
    <t>Strong Workforce Program (SWP); Student Centered Funding Formula (SCFF); Vision 2030</t>
  </si>
  <si>
    <t>Data Source(s) (Values separated with ";")</t>
  </si>
  <si>
    <t>Responsible Party(s) (Values separated with ";")</t>
  </si>
  <si>
    <t>Included in Master Plan(s) (Values separated with ";")</t>
  </si>
  <si>
    <t>Metric Category(s) (Values separated with ";")</t>
  </si>
  <si>
    <t>Course Success; Retention &amp; Persistence</t>
  </si>
  <si>
    <t>Learning &amp; Outcomes</t>
  </si>
  <si>
    <t>Financial Aid; SCFF Supplemental Populations</t>
  </si>
  <si>
    <t>Parent Metric / Group(s) (Values separated with ";")</t>
  </si>
  <si>
    <t>EMP Plan Area(s) (Values separated with ";")</t>
  </si>
  <si>
    <t>Total Annual Course Enrollments</t>
  </si>
  <si>
    <t>Plan:</t>
  </si>
  <si>
    <t>Select a plan:</t>
  </si>
  <si>
    <t>AB-540 Student Headcount</t>
  </si>
  <si>
    <t>M-003a</t>
  </si>
  <si>
    <t>Total Districtwide (CCFS-320 Annual)</t>
  </si>
  <si>
    <t>M-003b</t>
  </si>
  <si>
    <t>Total Districtwide (EMP Dashboard)</t>
  </si>
  <si>
    <t>EMP Metrics Dashboard</t>
  </si>
  <si>
    <t>M-020a</t>
  </si>
  <si>
    <t>Fall-to-Spring Persistence Rate (EMP / Informer)</t>
  </si>
  <si>
    <t>IR Office / Informer</t>
  </si>
  <si>
    <t>The percentage of fall-enrolled students who continued into the following spring term.</t>
  </si>
  <si>
    <t>Tracked in EMP Metrics &amp; Dashboard and Ongoing Report Card. Annual figures: 2020-21=68.10%, 2021-22=64.30%, 2022-23=66.60%, 2023-24=66.20%, 2024-25=67.80%, 2025-26 baseline=68.20%, Target=73.00%. Measures all fall-enrolled students persisting to spring.</t>
  </si>
  <si>
    <t>M-020b</t>
  </si>
  <si>
    <t>Fall to Spring Persistence Rate (Strategic Plan / DataVista)</t>
  </si>
  <si>
    <t>Total Districtwide (Excluding Completers/Transfers)</t>
  </si>
  <si>
    <t>DataVista - Persisted from Fall to Spring: At the Same College (406SW)</t>
  </si>
  <si>
    <t>Tracked in 2026-2030 Strategic Plan. 2024-25 Baseline is 68.0% via DataVista (406SW), Target = 73.0%. Excludes students who completed an award or transferred to a postsecondary institution.</t>
  </si>
  <si>
    <t>M-028a</t>
  </si>
  <si>
    <t>Associate Degree for Transfer (ADT) - Headcount (SCFF Highest Award)</t>
  </si>
  <si>
    <t>Headcount of students by district who were reported as receiving a Chancellor's Office approved associate degree for transfer (ADT) at the district in the reporting year and were reported with an enrollment at the district in the reporting year (SCFF highest award criteria).</t>
  </si>
  <si>
    <t>Tracked in EMP Metrics &amp; Dashboard and Ongoing Report Card 23-24. Under SCFF rules, only counts highest award earned per enrolled student (2020-21=1,283; 2021-22=1,123; 2022-23=1,115; 2023-24=1,088; 2024-25=1,375). For duplicated ADT awards, see M-092.</t>
  </si>
  <si>
    <t>M-028b</t>
  </si>
  <si>
    <t>Associate Degree for Transfer (ADT) - Headcount (IR Dashboard Unduplicated)</t>
  </si>
  <si>
    <t>The number of students who earned an Associate Degree for Transfer (ADT) in an academic year. Students who earned multiple ADTs in the same year are counted once.</t>
  </si>
  <si>
    <t>Tracked in 2026-2030 Strategic Plan via IR Dashboard. Unduplicated student headcount earning an ADT (2024-25 baseline = 1,486; Target = 1,620). Not restricted to students where ADT was sole highest award.</t>
  </si>
  <si>
    <t>M-030a</t>
  </si>
  <si>
    <t>Credit Certificates - Headcount (SCFF 16+ Units Highest Award)</t>
  </si>
  <si>
    <t>Headcount of students by district who were reported as receiving a Chancellor's Office approved credit certificate requiring 16+ semester units at the district in the reporting year (SCFF criteria: certificate is highest award).</t>
  </si>
  <si>
    <t>Tracked in EMP Metrics &amp; Dashboard and Ongoing Report Card 23-24. SCFF rules track 16+ unit credit certificates where certificate is highest award (2020-21=187; 2021-22=220; 2022-23=217; 2023-24=280; 2024-25=329). For duplicated certificates, see M-086.</t>
  </si>
  <si>
    <t>M-030b</t>
  </si>
  <si>
    <t>Credit Certificates - Headcount (IR Dashboard All Certificates Unduplicated)</t>
  </si>
  <si>
    <t>The number of students who earned a certificate in an academic year. Students who earned multiple certificates in the same year are counted once.</t>
  </si>
  <si>
    <t>Tracked in 2026-2030 Strategic Plan via IR Dashboard. Unduplicated headcount of all students earning any certificate in the academic year (2024-25 baseline = 1,003; Target = 1,200). Includes certificates under 16 units and students also earning a degree.</t>
  </si>
  <si>
    <t>M-034a</t>
  </si>
  <si>
    <t>Total Districtwide (SCFF 12+ Units Prior Year)</t>
  </si>
  <si>
    <t>Headcount of students by district who earned 12+ semester units in the district in the year prior and enrolled at a 4-year institution in the reporting year.</t>
  </si>
  <si>
    <t>M-034b</t>
  </si>
  <si>
    <t>Transferred to a Four-Year Institution (Strategic Plan / DataVista)</t>
  </si>
  <si>
    <t>Total Districtwide (DataVista Exited Students)</t>
  </si>
  <si>
    <t>DataVista - Transferred to a Four-Year Institution: Four-Year Postsecondary Institution (650SW)</t>
  </si>
  <si>
    <t>The number of students who exited the community college system and who enrolled in any four-year postsecondary institution in the subsequent year.</t>
  </si>
  <si>
    <t>Full-Time Equivalent Students (Total FTES – CCFS-320 Report)</t>
  </si>
  <si>
    <t>Values in 2021-26 columns are from Report Card Main (CCFS-320 Report). 2025-26 baseline is 18,268.48. Distinct from EMP Dashboard internal calculation (see M-003b).</t>
  </si>
  <si>
    <t>Full-Time Equivalent Students (Total FTES – EMP Dashboard)</t>
  </si>
  <si>
    <t>Tracked on EMP Metrics Dashboard (2022-23=13,984.11; 2023-24=16,411.12; 2024-25=16,602.50; YoY +1.17%). Differs from official CCFS-320 Report (M-003a).</t>
  </si>
  <si>
    <t>The proportion of students who persisted from fall to spring, excluding students who completed an award or transferred to a postsecondary institution.</t>
  </si>
  <si>
    <t>Associate Degree for Transfer (ADT) Earners (Headcount – SCFF / EMP)</t>
  </si>
  <si>
    <t>Associate Degree for Transfer (ADT) Earners (Headcount – Strategic Plan / IR Dashboard)</t>
  </si>
  <si>
    <t>Credit Certificate Earners (Headcount – SCFF / EMP)</t>
  </si>
  <si>
    <t>Certificate Earners (Headcount – Strategic Plan / IR Dashboard)</t>
  </si>
  <si>
    <t>Transfers to 4-Year Institutions (Total – SCFF / EMP)</t>
  </si>
  <si>
    <t>Tracked in EMP Metrics &amp; Dashboard and Ongoing Report Card 23-24. SCFF cohort definition requires 12+ units earned in the district in the prior year (2020-21=1,062; 2021-22=1,104; 2022-23=925; 2023-24=895; 2024-25=902).</t>
  </si>
  <si>
    <t>Tracked in 2026-2030 Strategic Plan. DataVista (650SW) counts all exited students enrolling in any four-year postsecondary institution in the subsequent year (Baseline = 2,010 as of 2023-24 exit cohort; Target = 2,300). Broader than SCFF as it does not require 12 units in district in prior year.</t>
  </si>
  <si>
    <t>Metric Trait(s) / Initiative Alignment (Values separated with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</si>
</sst>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0.0%"/>
    <numFmt numFmtId="165" formatCode="#,##0.0"/>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14"/>
      <color theme="1"/>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2" tint="-0.24997711111789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4">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60">
    <xf numFmtId="0" fontId="0" fillId="0" borderId="0" xfId="0"/>
    <xf numFmtId="0" fontId="0" fillId="0" borderId="0" xfId="0" applyAlignment="1">
      <alignment horizontal="left" vertical="top"/>
    </xf>
    <xf numFmtId="0" fontId="0" fillId="0" borderId="0" xfId="0" applyAlignment="1">
      <alignment horizontal="left" vertical="top" wrapText="1"/>
    </xf>
    <xf numFmtId="0" fontId="0" fillId="0" borderId="10" xfId="0" applyBorder="1" applyAlignment="1">
      <alignment horizontal="left" vertical="top"/>
    </xf>
    <xf numFmtId="0" fontId="0" fillId="0" borderId="10" xfId="0" applyBorder="1" applyAlignment="1">
      <alignment horizontal="left" vertical="top" wrapText="1"/>
    </xf>
    <xf numFmtId="0" fontId="0" fillId="33" borderId="10" xfId="0" applyFill="1" applyBorder="1" applyAlignment="1">
      <alignment horizontal="left" vertical="top"/>
    </xf>
    <xf numFmtId="0" fontId="0" fillId="0" borderId="0" xfId="0" applyAlignment="1">
      <alignment wrapText="1"/>
    </xf>
    <xf numFmtId="0" fontId="16" fillId="0" borderId="10" xfId="0" applyFont="1" applyBorder="1"/>
    <xf numFmtId="0" fontId="16" fillId="33" borderId="10" xfId="0" applyFont="1" applyFill="1" applyBorder="1"/>
    <xf numFmtId="0" fontId="0" fillId="0" borderId="10" xfId="0" applyBorder="1"/>
    <xf numFmtId="0" fontId="0" fillId="0" borderId="10" xfId="0" applyBorder="1" applyAlignment="1">
      <alignment wrapText="1"/>
    </xf>
    <xf numFmtId="0" fontId="19" fillId="34" borderId="10" xfId="0" applyFont="1" applyFill="1" applyBorder="1" applyAlignment="1">
      <alignment vertical="center"/>
    </xf>
    <xf numFmtId="0" fontId="19" fillId="34" borderId="10" xfId="0" applyFont="1" applyFill="1" applyBorder="1" applyAlignment="1">
      <alignment vertical="center" wrapText="1"/>
    </xf>
    <xf numFmtId="0" fontId="16" fillId="0" borderId="0" xfId="0" applyFont="1" applyAlignment="1">
      <alignment vertical="center"/>
    </xf>
    <xf numFmtId="4" fontId="0" fillId="0" borderId="0" xfId="0" applyNumberFormat="1" applyAlignment="1">
      <alignment horizontal="center" vertical="top"/>
    </xf>
    <xf numFmtId="4" fontId="0" fillId="0" borderId="10" xfId="0" applyNumberFormat="1" applyBorder="1" applyAlignment="1">
      <alignment horizontal="center" vertical="top"/>
    </xf>
    <xf numFmtId="4" fontId="0" fillId="33" borderId="10" xfId="0" applyNumberFormat="1" applyFill="1" applyBorder="1" applyAlignment="1">
      <alignment horizontal="center" vertical="top"/>
    </xf>
    <xf numFmtId="10" fontId="0" fillId="0" borderId="10" xfId="0" applyNumberFormat="1" applyBorder="1" applyAlignment="1">
      <alignment horizontal="left" vertical="top" wrapText="1"/>
    </xf>
    <xf numFmtId="0" fontId="0" fillId="0" borderId="11" xfId="0" applyBorder="1" applyAlignment="1">
      <alignment horizontal="left" vertical="top"/>
    </xf>
    <xf numFmtId="0" fontId="0" fillId="33" borderId="11" xfId="0" applyFill="1" applyBorder="1" applyAlignment="1">
      <alignment horizontal="left" vertical="top"/>
    </xf>
    <xf numFmtId="0" fontId="0" fillId="0" borderId="12" xfId="0" applyBorder="1" applyAlignment="1">
      <alignment horizontal="left" vertical="top" wrapText="1"/>
    </xf>
    <xf numFmtId="0" fontId="16" fillId="0" borderId="13" xfId="0" applyFont="1" applyBorder="1" applyAlignment="1">
      <alignment horizontal="left" vertical="top"/>
    </xf>
    <xf numFmtId="0" fontId="16" fillId="0" borderId="14" xfId="0" applyFont="1" applyBorder="1" applyAlignment="1">
      <alignment horizontal="left" vertical="top"/>
    </xf>
    <xf numFmtId="4" fontId="16" fillId="0" borderId="14" xfId="0" applyNumberFormat="1" applyFont="1" applyBorder="1" applyAlignment="1">
      <alignment horizontal="center" vertical="top"/>
    </xf>
    <xf numFmtId="0" fontId="16" fillId="0" borderId="14" xfId="0" applyFont="1" applyBorder="1" applyAlignment="1">
      <alignment horizontal="left" vertical="top" wrapText="1"/>
    </xf>
    <xf numFmtId="0" fontId="16" fillId="0" borderId="15" xfId="0" applyFont="1" applyBorder="1" applyAlignment="1">
      <alignment horizontal="left" vertical="top" wrapText="1"/>
    </xf>
    <xf numFmtId="0" fontId="0" fillId="0" borderId="16" xfId="0" applyBorder="1" applyAlignment="1">
      <alignment horizontal="left" vertical="top"/>
    </xf>
    <xf numFmtId="0" fontId="0" fillId="0" borderId="17" xfId="0" applyBorder="1" applyAlignment="1">
      <alignment horizontal="left" vertical="top"/>
    </xf>
    <xf numFmtId="0" fontId="0" fillId="0" borderId="17" xfId="0" applyBorder="1" applyAlignment="1">
      <alignment horizontal="left" vertical="top" wrapText="1"/>
    </xf>
    <xf numFmtId="0" fontId="0" fillId="0" borderId="18" xfId="0" applyBorder="1" applyAlignment="1">
      <alignment horizontal="left" vertical="top" wrapText="1"/>
    </xf>
    <xf numFmtId="49" fontId="0" fillId="0" borderId="10" xfId="0" applyNumberFormat="1" applyBorder="1"/>
    <xf numFmtId="49" fontId="19" fillId="34" borderId="10" xfId="0" applyNumberFormat="1" applyFont="1" applyFill="1" applyBorder="1" applyAlignment="1">
      <alignment vertical="center"/>
    </xf>
    <xf numFmtId="3" fontId="0" fillId="0" borderId="10" xfId="0" applyNumberFormat="1" applyBorder="1" applyAlignment="1">
      <alignment horizontal="center" vertical="top"/>
    </xf>
    <xf numFmtId="3" fontId="0" fillId="33" borderId="10" xfId="0" applyNumberFormat="1" applyFill="1" applyBorder="1" applyAlignment="1">
      <alignment horizontal="center" vertical="top"/>
    </xf>
    <xf numFmtId="164" fontId="0" fillId="33" borderId="10" xfId="1" applyNumberFormat="1" applyFont="1" applyFill="1" applyBorder="1" applyAlignment="1">
      <alignment horizontal="center" vertical="top"/>
    </xf>
    <xf numFmtId="0" fontId="16" fillId="0" borderId="14" xfId="0" applyFont="1" applyBorder="1" applyAlignment="1">
      <alignment horizontal="center" vertical="top" wrapText="1"/>
    </xf>
    <xf numFmtId="0" fontId="0" fillId="0" borderId="10" xfId="0" applyBorder="1" applyAlignment="1">
      <alignment horizontal="center" vertical="top" wrapText="1"/>
    </xf>
    <xf numFmtId="10" fontId="0" fillId="0" borderId="10" xfId="0" applyNumberFormat="1" applyBorder="1" applyAlignment="1">
      <alignment horizontal="center" vertical="top" wrapText="1"/>
    </xf>
    <xf numFmtId="0" fontId="0" fillId="0" borderId="0" xfId="0" applyAlignment="1">
      <alignment horizontal="center" wrapText="1"/>
    </xf>
    <xf numFmtId="0" fontId="0" fillId="0" borderId="0" xfId="0" applyAlignment="1">
      <alignment horizontal="center" vertical="top" wrapText="1"/>
    </xf>
    <xf numFmtId="0" fontId="0" fillId="0" borderId="11" xfId="0" applyFill="1" applyBorder="1" applyAlignment="1">
      <alignment horizontal="left" vertical="top"/>
    </xf>
    <xf numFmtId="0" fontId="0" fillId="0" borderId="10" xfId="0" applyFill="1" applyBorder="1" applyAlignment="1">
      <alignment horizontal="left" vertical="top"/>
    </xf>
    <xf numFmtId="165" fontId="0" fillId="0" borderId="10" xfId="0" applyNumberFormat="1" applyFill="1" applyBorder="1" applyAlignment="1">
      <alignment horizontal="center" vertical="top"/>
    </xf>
    <xf numFmtId="0" fontId="0" fillId="0" borderId="10" xfId="0" applyFill="1" applyBorder="1" applyAlignment="1">
      <alignment horizontal="center" vertical="top" wrapText="1"/>
    </xf>
    <xf numFmtId="2" fontId="0" fillId="0" borderId="10" xfId="0" applyNumberFormat="1" applyFill="1" applyBorder="1" applyAlignment="1">
      <alignment horizontal="left" vertical="top" wrapText="1"/>
    </xf>
    <xf numFmtId="10" fontId="0" fillId="0" borderId="10" xfId="0" applyNumberFormat="1" applyFill="1" applyBorder="1" applyAlignment="1">
      <alignment horizontal="left" vertical="top" wrapText="1"/>
    </xf>
    <xf numFmtId="0" fontId="0" fillId="0" borderId="10" xfId="0" applyFill="1" applyBorder="1" applyAlignment="1">
      <alignment horizontal="left" vertical="top" wrapText="1"/>
    </xf>
    <xf numFmtId="0" fontId="0" fillId="0" borderId="12" xfId="0" applyFill="1" applyBorder="1" applyAlignment="1">
      <alignment horizontal="left" vertical="top" wrapText="1"/>
    </xf>
    <xf numFmtId="3" fontId="0" fillId="0" borderId="10" xfId="0" applyNumberFormat="1" applyFill="1" applyBorder="1" applyAlignment="1">
      <alignment horizontal="center" vertical="top"/>
    </xf>
    <xf numFmtId="9" fontId="0" fillId="0" borderId="10" xfId="1" applyFont="1" applyBorder="1" applyAlignment="1">
      <alignment horizontal="center" vertical="top"/>
    </xf>
    <xf numFmtId="1" fontId="0" fillId="0" borderId="10" xfId="0" applyNumberFormat="1" applyBorder="1" applyAlignment="1">
      <alignment horizontal="left" vertical="top" wrapText="1"/>
    </xf>
    <xf numFmtId="9" fontId="0" fillId="0" borderId="10" xfId="0" applyNumberFormat="1" applyBorder="1" applyAlignment="1">
      <alignment horizontal="left" vertical="top" wrapText="1"/>
    </xf>
    <xf numFmtId="9" fontId="0" fillId="0" borderId="10" xfId="0" applyNumberFormat="1" applyFill="1" applyBorder="1" applyAlignment="1">
      <alignment horizontal="left" vertical="top" wrapText="1"/>
    </xf>
    <xf numFmtId="3" fontId="0" fillId="0" borderId="10" xfId="43" applyNumberFormat="1" applyFont="1" applyFill="1" applyBorder="1" applyAlignment="1">
      <alignment horizontal="center" vertical="top" wrapText="1"/>
    </xf>
    <xf numFmtId="4" fontId="0" fillId="0" borderId="10" xfId="0" applyNumberFormat="1" applyFill="1" applyBorder="1" applyAlignment="1">
      <alignment horizontal="center" vertical="top"/>
    </xf>
    <xf numFmtId="10" fontId="0" fillId="0" borderId="10" xfId="0" applyNumberFormat="1" applyFill="1" applyBorder="1" applyAlignment="1">
      <alignment horizontal="center" vertical="top" wrapText="1"/>
    </xf>
    <xf numFmtId="164" fontId="0" fillId="0" borderId="10" xfId="0" applyNumberFormat="1" applyFill="1" applyBorder="1" applyAlignment="1">
      <alignment horizontal="center" vertical="top"/>
    </xf>
    <xf numFmtId="164" fontId="0" fillId="0" borderId="10" xfId="1" applyNumberFormat="1" applyFont="1" applyFill="1" applyBorder="1" applyAlignment="1">
      <alignment horizontal="center" vertical="top"/>
    </xf>
    <xf numFmtId="9" fontId="0" fillId="0" borderId="10" xfId="1" applyFont="1" applyFill="1" applyBorder="1" applyAlignment="1">
      <alignment horizontal="center" vertical="top"/>
    </xf>
    <xf numFmtId="3" fontId="0" fillId="0" borderId="17" xfId="0" applyNumberFormat="1" applyBorder="1" applyAlignment="1">
      <alignment horizontal="center" vertical="top"/>
    </xf>
  </cellXfs>
  <cellStyles count="44">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33">
    <dxf>
      <font>
        <color rgb="FF9C0006"/>
      </font>
      <fill>
        <patternFill>
          <bgColor rgb="FFFFC7CE"/>
        </patternFill>
      </fill>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4" formatCode="#,##0.00"/>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left"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left" vertical="top" textRotation="0" wrapText="1" indent="0" justifyLastLine="0" shrinkToFit="0" readingOrder="0"/>
      <border diagonalUp="0" diagonalDown="0" outline="0">
        <left style="thin">
          <color indexed="64"/>
        </left>
        <right style="thin">
          <color indexed="64"/>
        </right>
        <top/>
        <bottom/>
      </border>
    </dxf>
  </dxfs>
  <tableStyles count="1" defaultTableStyle="TableStyleMedium2" defaultPivotStyle="PivotStyleLight16">
    <tableStyle name="Invisible" pivot="0" table="0" count="0" xr9:uid="{F8E1059C-FCC3-489F-A427-0A2BE5393E7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0BC73B-879E-4C94-B5B8-6C583DD0DDE6}" name="Metrics_Master" displayName="Metrics_Master" ref="A1:AA101" totalsRowShown="0" headerRowDxfId="32" dataDxfId="30" headerRowBorderDxfId="31" tableBorderDxfId="29" totalsRowBorderDxfId="28">
  <autoFilter ref="A1:AA101" xr:uid="{D90BC73B-879E-4C94-B5B8-6C583DD0DDE6}"/>
  <sortState xmlns:xlrd2="http://schemas.microsoft.com/office/spreadsheetml/2017/richdata2" ref="A2:AA101">
    <sortCondition ref="A1:A101"/>
  </sortState>
  <tableColumns count="27">
    <tableColumn id="1" xr3:uid="{215F8C45-7AC1-496F-A7F0-C3DCF56935D3}" name="Metric ID" dataDxfId="27"/>
    <tableColumn id="2" xr3:uid="{E503F1DF-00EC-4775-B89F-B8EBD291E765}" name="Included in Master Plan(s) (Values separated with &quot;;&quot;)" dataDxfId="26"/>
    <tableColumn id="3" xr3:uid="{DEDCBB7D-2300-4C54-9F3E-85884056D528}" name="Unified Metric Name" dataDxfId="25"/>
    <tableColumn id="4" xr3:uid="{EE6D6472-FD34-44C7-8B4D-6F3A1257552B}" name="2020-2021" dataDxfId="24"/>
    <tableColumn id="5" xr3:uid="{1793254C-6C35-43B2-B6DB-EF54AE965174}" name="2021-2022" dataDxfId="23"/>
    <tableColumn id="6" xr3:uid="{0C67F540-92A1-4E42-8DA2-6B08ADE7D888}" name="2022-2023" dataDxfId="22"/>
    <tableColumn id="7" xr3:uid="{7100813D-8C65-4EBF-9DDD-C8CA3A40B451}" name="2023-2024" dataDxfId="21"/>
    <tableColumn id="8" xr3:uid="{DB509304-3EB1-4D4D-B714-6AF965CB0BA7}" name="2024-2025" dataDxfId="20"/>
    <tableColumn id="9" xr3:uid="{F5EAFEFD-FC0A-487F-8525-1C93255BD17F}" name="2025-2026" dataDxfId="19"/>
    <tableColumn id="22" xr3:uid="{19854763-5938-48CE-8523-23258BFF1C3E}" name="EMP Baseline (2025-2026 Yr 0)" dataDxfId="4"/>
    <tableColumn id="23" xr3:uid="{14F0D8E9-D836-4B80-94D3-7B8418392D1A}" name="EMP Target Goal" dataDxfId="3"/>
    <tableColumn id="24" xr3:uid="{FA021FCD-2B93-4B93-B866-74FFE5B66D07}" name="Strategic Plan Baseline (2024-2025 Yr 0)" dataDxfId="2"/>
    <tableColumn id="25" xr3:uid="{D5AB3269-32D4-42B9-BB3A-AA4B7E4FFDFF}" name="Strategic Plan Target Goal (2026-2030)" dataDxfId="1"/>
    <tableColumn id="10" xr3:uid="{75661E75-33EF-41F7-82E4-B6310A3593CE}" name="Metric Category(s) (Values separated with &quot;;&quot;)" dataDxfId="18"/>
    <tableColumn id="11" xr3:uid="{DA1B6D5A-215E-41EA-9F08-24EF4EC80064}" name="Parent Metric / Group(s) (Values separated with &quot;;&quot;)" dataDxfId="17"/>
    <tableColumn id="12" xr3:uid="{820F094D-7B9E-47B0-8C6E-0D83F1170158}" name="Disaggregation / Sub-Group" dataDxfId="16"/>
    <tableColumn id="13" xr3:uid="{69499416-0BBF-4736-A627-F5FF57D01BD6}" name="Data Source(s) (Values separated with &quot;;&quot;)" dataDxfId="15"/>
    <tableColumn id="14" xr3:uid="{380BCA21-1816-46A2-8F4A-8733D846638C}" name="Metric Trait(s) / Initiative Alignment (Values separated with &quot;;&quot;)" dataDxfId="14"/>
    <tableColumn id="15" xr3:uid="{720F9919-B516-4F6D-A4E9-AFAC3AAE8FE8}" name="Metric Unit / Format" dataDxfId="13"/>
    <tableColumn id="16" xr3:uid="{B95953D7-6301-4CC6-AAAA-00EC45DC8696}" name="Metric Definition" dataDxfId="12"/>
    <tableColumn id="17" xr3:uid="{16703B11-181A-4C28-89FA-B74B6009D141}" name="EMP Plan Area(s) (Values separated with &quot;;&quot;)" dataDxfId="11"/>
    <tableColumn id="18" xr3:uid="{A85AE38E-DD71-47D8-9B3F-93F3665251C9}" name="EMP Goal" dataDxfId="10"/>
    <tableColumn id="19" xr3:uid="{B5229022-4623-4A51-8A04-59F34185791D}" name="Strategic Plan Goal" dataDxfId="9"/>
    <tableColumn id="20" xr3:uid="{68B3561C-0B72-42FA-B91B-F32D508D228A}" name="Strategic Plan Objective" dataDxfId="8"/>
    <tableColumn id="21" xr3:uid="{E6E125FC-4BE6-440C-9CF6-403D81BF954C}" name="Guided Pathways Alignment" dataDxfId="7"/>
    <tableColumn id="26" xr3:uid="{CBEEC815-9C36-494D-846B-F0E62B179CB5}" name="Responsible Party(s) (Values separated with &quot;;&quot;)" dataDxfId="6"/>
    <tableColumn id="27" xr3:uid="{FD86AE70-9F9B-455E-A273-BF718DEAEFCA}" name="Notes &amp; Methodology Nuances" dataDxfId="5"/>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BF54D3-5712-4678-A052-6EB322406C00}">
  <dimension ref="A1:AA107"/>
  <sheetViews>
    <sheetView tabSelected="1" workbookViewId="0">
      <pane ySplit="1" topLeftCell="A2" activePane="bottomLeft" state="frozen"/>
      <selection pane="bottomLeft"/>
    </sheetView>
  </sheetViews>
  <sheetFormatPr defaultColWidth="77" defaultRowHeight="15" x14ac:dyDescent="0.25"/>
  <cols>
    <col min="1" max="1" width="11.42578125" style="1" bestFit="1" customWidth="1"/>
    <col min="2" max="2" width="67.140625" style="1" bestFit="1" customWidth="1"/>
    <col min="3" max="3" width="80.140625" style="1" bestFit="1" customWidth="1"/>
    <col min="4" max="9" width="14.28515625" style="14" bestFit="1" customWidth="1"/>
    <col min="10" max="10" width="32.42578125" style="38" bestFit="1" customWidth="1"/>
    <col min="11" max="11" width="20.140625" style="39" bestFit="1" customWidth="1"/>
    <col min="12" max="12" width="42.85546875" style="2" bestFit="1" customWidth="1"/>
    <col min="13" max="13" width="37.5703125" style="2" bestFit="1" customWidth="1"/>
    <col min="14" max="14" width="45.42578125" style="2" bestFit="1" customWidth="1"/>
    <col min="15" max="15" width="50.42578125" style="6" bestFit="1" customWidth="1"/>
    <col min="16" max="16" width="71.28515625" style="2" bestFit="1" customWidth="1"/>
    <col min="17" max="17" width="74.42578125" style="6" bestFit="1" customWidth="1"/>
    <col min="18" max="18" width="75.7109375" style="2" bestFit="1" customWidth="1"/>
    <col min="19" max="19" width="30.7109375" style="2" bestFit="1" customWidth="1"/>
    <col min="20" max="20" width="176" style="2" bestFit="1" customWidth="1"/>
    <col min="21" max="21" width="55.42578125" style="6" bestFit="1" customWidth="1"/>
    <col min="22" max="22" width="92.28515625" style="2" bestFit="1" customWidth="1"/>
    <col min="23" max="23" width="20.42578125" style="2" bestFit="1" customWidth="1"/>
    <col min="24" max="24" width="75" style="2" bestFit="1" customWidth="1"/>
    <col min="25" max="25" width="42.28515625" style="6" bestFit="1" customWidth="1"/>
    <col min="26" max="26" width="72.42578125" bestFit="1" customWidth="1"/>
    <col min="27" max="27" width="77.28515625" bestFit="1" customWidth="1"/>
  </cols>
  <sheetData>
    <row r="1" spans="1:27" x14ac:dyDescent="0.25">
      <c r="A1" s="21" t="s">
        <v>0</v>
      </c>
      <c r="B1" s="22" t="s">
        <v>543</v>
      </c>
      <c r="C1" s="22" t="s">
        <v>1</v>
      </c>
      <c r="D1" s="23" t="s">
        <v>9</v>
      </c>
      <c r="E1" s="23" t="s">
        <v>10</v>
      </c>
      <c r="F1" s="23" t="s">
        <v>11</v>
      </c>
      <c r="G1" s="23" t="s">
        <v>12</v>
      </c>
      <c r="H1" s="23" t="s">
        <v>13</v>
      </c>
      <c r="I1" s="23" t="s">
        <v>14</v>
      </c>
      <c r="J1" s="35" t="s">
        <v>15</v>
      </c>
      <c r="K1" s="35" t="s">
        <v>16</v>
      </c>
      <c r="L1" s="24" t="s">
        <v>17</v>
      </c>
      <c r="M1" s="24" t="s">
        <v>18</v>
      </c>
      <c r="N1" s="24" t="s">
        <v>544</v>
      </c>
      <c r="O1" s="24" t="s">
        <v>548</v>
      </c>
      <c r="P1" s="24" t="s">
        <v>2</v>
      </c>
      <c r="Q1" s="24" t="s">
        <v>541</v>
      </c>
      <c r="R1" s="24" t="s">
        <v>605</v>
      </c>
      <c r="S1" s="24" t="s">
        <v>6</v>
      </c>
      <c r="T1" s="24" t="s">
        <v>7</v>
      </c>
      <c r="U1" s="24" t="s">
        <v>549</v>
      </c>
      <c r="V1" s="24" t="s">
        <v>3</v>
      </c>
      <c r="W1" s="24" t="s">
        <v>4</v>
      </c>
      <c r="X1" s="24" t="s">
        <v>5</v>
      </c>
      <c r="Y1" s="24" t="s">
        <v>8</v>
      </c>
      <c r="Z1" s="24" t="s">
        <v>542</v>
      </c>
      <c r="AA1" s="25" t="s">
        <v>19</v>
      </c>
    </row>
    <row r="2" spans="1:27" ht="30" x14ac:dyDescent="0.25">
      <c r="A2" s="40" t="s">
        <v>20</v>
      </c>
      <c r="B2" s="41" t="s">
        <v>532</v>
      </c>
      <c r="C2" s="41" t="s">
        <v>22</v>
      </c>
      <c r="D2" s="48">
        <v>28796</v>
      </c>
      <c r="E2" s="48">
        <v>28316</v>
      </c>
      <c r="F2" s="48">
        <v>30505</v>
      </c>
      <c r="G2" s="48">
        <v>33531</v>
      </c>
      <c r="H2" s="48">
        <v>36077</v>
      </c>
      <c r="I2" s="48">
        <v>36592</v>
      </c>
      <c r="J2" s="53">
        <v>36592</v>
      </c>
      <c r="K2" s="43"/>
      <c r="L2" s="46"/>
      <c r="M2" s="46"/>
      <c r="N2" s="46" t="s">
        <v>21</v>
      </c>
      <c r="O2" s="46" t="s">
        <v>22</v>
      </c>
      <c r="P2" s="46" t="s">
        <v>23</v>
      </c>
      <c r="Q2" s="46" t="s">
        <v>29</v>
      </c>
      <c r="R2" s="46"/>
      <c r="S2" s="46" t="s">
        <v>26</v>
      </c>
      <c r="T2" s="46" t="s">
        <v>27</v>
      </c>
      <c r="U2" s="46" t="s">
        <v>24</v>
      </c>
      <c r="V2" s="46" t="s">
        <v>25</v>
      </c>
      <c r="W2" s="46"/>
      <c r="X2" s="46"/>
      <c r="Y2" s="46" t="s">
        <v>30</v>
      </c>
      <c r="Z2" s="46" t="s">
        <v>28</v>
      </c>
      <c r="AA2" s="47" t="s">
        <v>31</v>
      </c>
    </row>
    <row r="3" spans="1:27" ht="30" x14ac:dyDescent="0.25">
      <c r="A3" s="18" t="s">
        <v>32</v>
      </c>
      <c r="B3" s="3" t="s">
        <v>34</v>
      </c>
      <c r="C3" s="3" t="s">
        <v>550</v>
      </c>
      <c r="D3" s="15">
        <v>122183</v>
      </c>
      <c r="E3" s="15">
        <v>113008</v>
      </c>
      <c r="F3" s="15">
        <v>119525</v>
      </c>
      <c r="G3" s="15">
        <v>132250</v>
      </c>
      <c r="H3" s="15">
        <v>147420</v>
      </c>
      <c r="I3" s="15">
        <v>151154</v>
      </c>
      <c r="J3" s="4"/>
      <c r="K3" s="4"/>
      <c r="L3" s="4"/>
      <c r="M3" s="4"/>
      <c r="N3" s="4" t="s">
        <v>21</v>
      </c>
      <c r="O3" s="4" t="s">
        <v>33</v>
      </c>
      <c r="P3" s="4" t="s">
        <v>23</v>
      </c>
      <c r="Q3" s="4" t="s">
        <v>36</v>
      </c>
      <c r="R3" s="4"/>
      <c r="S3" s="4" t="s">
        <v>26</v>
      </c>
      <c r="T3" s="4" t="s">
        <v>35</v>
      </c>
      <c r="U3" s="4"/>
      <c r="V3" s="4"/>
      <c r="W3" s="4"/>
      <c r="X3" s="4"/>
      <c r="Y3" s="4"/>
      <c r="Z3" s="4" t="s">
        <v>28</v>
      </c>
      <c r="AA3" s="20" t="s">
        <v>37</v>
      </c>
    </row>
    <row r="4" spans="1:27" ht="45" x14ac:dyDescent="0.25">
      <c r="A4" s="19" t="s">
        <v>554</v>
      </c>
      <c r="B4" s="5" t="s">
        <v>532</v>
      </c>
      <c r="C4" s="5" t="s">
        <v>593</v>
      </c>
      <c r="D4" s="16">
        <v>14513.1</v>
      </c>
      <c r="E4" s="16">
        <v>13417.53</v>
      </c>
      <c r="F4" s="16">
        <v>14360.78</v>
      </c>
      <c r="G4" s="16">
        <v>15514.77</v>
      </c>
      <c r="H4" s="16">
        <v>17884.3</v>
      </c>
      <c r="I4" s="16">
        <v>18268.48</v>
      </c>
      <c r="J4" s="36">
        <v>18268.48</v>
      </c>
      <c r="K4" s="36"/>
      <c r="L4" s="4"/>
      <c r="M4" s="4"/>
      <c r="N4" s="4" t="s">
        <v>21</v>
      </c>
      <c r="O4" s="4" t="s">
        <v>38</v>
      </c>
      <c r="P4" s="4" t="s">
        <v>555</v>
      </c>
      <c r="Q4" s="4" t="s">
        <v>41</v>
      </c>
      <c r="R4" s="4" t="s">
        <v>42</v>
      </c>
      <c r="S4" s="4" t="s">
        <v>39</v>
      </c>
      <c r="T4" s="4" t="s">
        <v>40</v>
      </c>
      <c r="U4" s="4" t="s">
        <v>24</v>
      </c>
      <c r="V4" s="4" t="s">
        <v>25</v>
      </c>
      <c r="W4" s="4"/>
      <c r="X4" s="4"/>
      <c r="Y4" s="4" t="s">
        <v>30</v>
      </c>
      <c r="Z4" s="4" t="s">
        <v>28</v>
      </c>
      <c r="AA4" s="20" t="s">
        <v>594</v>
      </c>
    </row>
    <row r="5" spans="1:27" ht="30" x14ac:dyDescent="0.25">
      <c r="A5" s="19" t="s">
        <v>556</v>
      </c>
      <c r="B5" s="5" t="s">
        <v>532</v>
      </c>
      <c r="C5" s="5" t="s">
        <v>595</v>
      </c>
      <c r="D5" s="16"/>
      <c r="E5" s="16"/>
      <c r="F5" s="16">
        <v>13984.11</v>
      </c>
      <c r="G5" s="16">
        <v>16411.12</v>
      </c>
      <c r="H5" s="16">
        <v>16602.5</v>
      </c>
      <c r="I5" s="16"/>
      <c r="J5" s="36"/>
      <c r="K5" s="36"/>
      <c r="L5" s="4"/>
      <c r="M5" s="4"/>
      <c r="N5" s="4" t="s">
        <v>21</v>
      </c>
      <c r="O5" s="4" t="s">
        <v>38</v>
      </c>
      <c r="P5" s="4" t="s">
        <v>557</v>
      </c>
      <c r="Q5" s="4" t="s">
        <v>558</v>
      </c>
      <c r="R5" s="4" t="s">
        <v>42</v>
      </c>
      <c r="S5" s="4" t="s">
        <v>39</v>
      </c>
      <c r="T5" s="4" t="s">
        <v>40</v>
      </c>
      <c r="U5" s="4" t="s">
        <v>24</v>
      </c>
      <c r="V5" s="4" t="s">
        <v>25</v>
      </c>
      <c r="W5" s="4"/>
      <c r="X5" s="4"/>
      <c r="Y5" s="4" t="s">
        <v>30</v>
      </c>
      <c r="Z5" s="4" t="s">
        <v>28</v>
      </c>
      <c r="AA5" s="20" t="s">
        <v>596</v>
      </c>
    </row>
    <row r="6" spans="1:27" ht="30" x14ac:dyDescent="0.25">
      <c r="A6" s="40" t="s">
        <v>43</v>
      </c>
      <c r="B6" s="41" t="s">
        <v>530</v>
      </c>
      <c r="C6" s="41" t="s">
        <v>44</v>
      </c>
      <c r="D6" s="54"/>
      <c r="E6" s="54"/>
      <c r="F6" s="54">
        <v>1683.81</v>
      </c>
      <c r="G6" s="54">
        <v>1279.95</v>
      </c>
      <c r="H6" s="54">
        <v>1233.7</v>
      </c>
      <c r="I6" s="54">
        <v>1367.6</v>
      </c>
      <c r="J6" s="43">
        <v>1367.6</v>
      </c>
      <c r="K6" s="43" t="s">
        <v>48</v>
      </c>
      <c r="L6" s="46"/>
      <c r="M6" s="46"/>
      <c r="N6" s="46" t="s">
        <v>21</v>
      </c>
      <c r="O6" s="46" t="s">
        <v>38</v>
      </c>
      <c r="P6" s="46" t="s">
        <v>45</v>
      </c>
      <c r="Q6" s="46" t="s">
        <v>47</v>
      </c>
      <c r="R6" s="46" t="s">
        <v>42</v>
      </c>
      <c r="S6" s="46" t="s">
        <v>39</v>
      </c>
      <c r="T6" s="46" t="s">
        <v>46</v>
      </c>
      <c r="U6" s="46" t="s">
        <v>24</v>
      </c>
      <c r="V6" s="46" t="s">
        <v>25</v>
      </c>
      <c r="W6" s="46"/>
      <c r="X6" s="46"/>
      <c r="Y6" s="46" t="s">
        <v>30</v>
      </c>
      <c r="Z6" s="46"/>
      <c r="AA6" s="47" t="s">
        <v>49</v>
      </c>
    </row>
    <row r="7" spans="1:27" ht="30" x14ac:dyDescent="0.25">
      <c r="A7" s="40" t="s">
        <v>50</v>
      </c>
      <c r="B7" s="41" t="s">
        <v>530</v>
      </c>
      <c r="C7" s="41" t="s">
        <v>51</v>
      </c>
      <c r="D7" s="54"/>
      <c r="E7" s="54"/>
      <c r="F7" s="54">
        <v>1453.6</v>
      </c>
      <c r="G7" s="54">
        <v>1110.97</v>
      </c>
      <c r="H7" s="54">
        <v>1147.79</v>
      </c>
      <c r="I7" s="54">
        <v>1348.16</v>
      </c>
      <c r="J7" s="43">
        <v>1348.16</v>
      </c>
      <c r="K7" s="43" t="s">
        <v>48</v>
      </c>
      <c r="L7" s="46"/>
      <c r="M7" s="46"/>
      <c r="N7" s="46" t="s">
        <v>21</v>
      </c>
      <c r="O7" s="46" t="s">
        <v>38</v>
      </c>
      <c r="P7" s="46" t="s">
        <v>52</v>
      </c>
      <c r="Q7" s="46" t="s">
        <v>47</v>
      </c>
      <c r="R7" s="46" t="s">
        <v>42</v>
      </c>
      <c r="S7" s="46" t="s">
        <v>39</v>
      </c>
      <c r="T7" s="46" t="s">
        <v>53</v>
      </c>
      <c r="U7" s="46" t="s">
        <v>24</v>
      </c>
      <c r="V7" s="46" t="s">
        <v>25</v>
      </c>
      <c r="W7" s="46"/>
      <c r="X7" s="46"/>
      <c r="Y7" s="46" t="s">
        <v>30</v>
      </c>
      <c r="Z7" s="46"/>
      <c r="AA7" s="47" t="s">
        <v>54</v>
      </c>
    </row>
    <row r="8" spans="1:27" ht="30" x14ac:dyDescent="0.25">
      <c r="A8" s="40" t="s">
        <v>55</v>
      </c>
      <c r="B8" s="41" t="s">
        <v>530</v>
      </c>
      <c r="C8" s="41" t="s">
        <v>56</v>
      </c>
      <c r="D8" s="54"/>
      <c r="E8" s="54"/>
      <c r="F8" s="54">
        <v>1199.52</v>
      </c>
      <c r="G8" s="54">
        <v>1482.93</v>
      </c>
      <c r="H8" s="54">
        <v>1220.21</v>
      </c>
      <c r="I8" s="54">
        <v>1802.11</v>
      </c>
      <c r="J8" s="43">
        <v>1802.11</v>
      </c>
      <c r="K8" s="43"/>
      <c r="L8" s="46"/>
      <c r="M8" s="46"/>
      <c r="N8" s="46" t="s">
        <v>21</v>
      </c>
      <c r="O8" s="46" t="s">
        <v>38</v>
      </c>
      <c r="P8" s="46" t="s">
        <v>57</v>
      </c>
      <c r="Q8" s="46" t="s">
        <v>47</v>
      </c>
      <c r="R8" s="46" t="s">
        <v>535</v>
      </c>
      <c r="S8" s="46" t="s">
        <v>39</v>
      </c>
      <c r="T8" s="46" t="s">
        <v>60</v>
      </c>
      <c r="U8" s="46" t="s">
        <v>58</v>
      </c>
      <c r="V8" s="46" t="s">
        <v>59</v>
      </c>
      <c r="W8" s="46"/>
      <c r="X8" s="46"/>
      <c r="Y8" s="46" t="s">
        <v>30</v>
      </c>
      <c r="Z8" s="46"/>
      <c r="AA8" s="47" t="s">
        <v>61</v>
      </c>
    </row>
    <row r="9" spans="1:27" x14ac:dyDescent="0.25">
      <c r="A9" s="40" t="s">
        <v>62</v>
      </c>
      <c r="B9" s="41" t="s">
        <v>530</v>
      </c>
      <c r="C9" s="41" t="s">
        <v>63</v>
      </c>
      <c r="D9" s="54"/>
      <c r="E9" s="54"/>
      <c r="F9" s="54">
        <v>56.76</v>
      </c>
      <c r="G9" s="54">
        <v>104.07</v>
      </c>
      <c r="H9" s="54">
        <v>106.81</v>
      </c>
      <c r="I9" s="54">
        <v>149.16999999999999</v>
      </c>
      <c r="J9" s="43">
        <v>149.16999999999999</v>
      </c>
      <c r="K9" s="43"/>
      <c r="L9" s="46"/>
      <c r="M9" s="46"/>
      <c r="N9" s="46" t="s">
        <v>21</v>
      </c>
      <c r="O9" s="46" t="s">
        <v>38</v>
      </c>
      <c r="P9" s="46" t="s">
        <v>64</v>
      </c>
      <c r="Q9" s="46" t="s">
        <v>47</v>
      </c>
      <c r="R9" s="46" t="s">
        <v>535</v>
      </c>
      <c r="S9" s="46" t="s">
        <v>39</v>
      </c>
      <c r="T9" s="46" t="s">
        <v>65</v>
      </c>
      <c r="U9" s="46" t="s">
        <v>58</v>
      </c>
      <c r="V9" s="46" t="s">
        <v>59</v>
      </c>
      <c r="W9" s="46"/>
      <c r="X9" s="46"/>
      <c r="Y9" s="46" t="s">
        <v>30</v>
      </c>
      <c r="Z9" s="46"/>
      <c r="AA9" s="47" t="s">
        <v>66</v>
      </c>
    </row>
    <row r="10" spans="1:27" x14ac:dyDescent="0.25">
      <c r="A10" s="40" t="s">
        <v>67</v>
      </c>
      <c r="B10" s="41" t="s">
        <v>530</v>
      </c>
      <c r="C10" s="41" t="s">
        <v>68</v>
      </c>
      <c r="D10" s="54"/>
      <c r="E10" s="54"/>
      <c r="F10" s="54">
        <v>218.36</v>
      </c>
      <c r="G10" s="54">
        <v>106.6</v>
      </c>
      <c r="H10" s="54">
        <v>155.51</v>
      </c>
      <c r="I10" s="54"/>
      <c r="J10" s="43"/>
      <c r="K10" s="43"/>
      <c r="L10" s="46"/>
      <c r="M10" s="46"/>
      <c r="N10" s="46" t="s">
        <v>21</v>
      </c>
      <c r="O10" s="46" t="s">
        <v>38</v>
      </c>
      <c r="P10" s="46" t="s">
        <v>69</v>
      </c>
      <c r="Q10" s="46" t="s">
        <v>47</v>
      </c>
      <c r="R10" s="46" t="s">
        <v>42</v>
      </c>
      <c r="S10" s="46" t="s">
        <v>39</v>
      </c>
      <c r="T10" s="46" t="s">
        <v>71</v>
      </c>
      <c r="U10" s="46" t="s">
        <v>70</v>
      </c>
      <c r="V10" s="46" t="s">
        <v>59</v>
      </c>
      <c r="W10" s="46"/>
      <c r="X10" s="46"/>
      <c r="Y10" s="46" t="s">
        <v>30</v>
      </c>
      <c r="Z10" s="46"/>
      <c r="AA10" s="47" t="s">
        <v>72</v>
      </c>
    </row>
    <row r="11" spans="1:27" ht="30" x14ac:dyDescent="0.25">
      <c r="A11" s="40" t="s">
        <v>73</v>
      </c>
      <c r="B11" s="41" t="s">
        <v>532</v>
      </c>
      <c r="C11" s="41" t="s">
        <v>74</v>
      </c>
      <c r="D11" s="48">
        <v>7515</v>
      </c>
      <c r="E11" s="48">
        <v>6853</v>
      </c>
      <c r="F11" s="48">
        <v>7190</v>
      </c>
      <c r="G11" s="48">
        <v>7853</v>
      </c>
      <c r="H11" s="48">
        <v>9301</v>
      </c>
      <c r="I11" s="48"/>
      <c r="J11" s="43"/>
      <c r="K11" s="43" t="s">
        <v>78</v>
      </c>
      <c r="L11" s="46"/>
      <c r="M11" s="46"/>
      <c r="N11" s="46" t="s">
        <v>21</v>
      </c>
      <c r="O11" s="46" t="s">
        <v>547</v>
      </c>
      <c r="P11" s="46" t="s">
        <v>75</v>
      </c>
      <c r="Q11" s="46" t="s">
        <v>531</v>
      </c>
      <c r="R11" s="46" t="s">
        <v>535</v>
      </c>
      <c r="S11" s="46" t="s">
        <v>26</v>
      </c>
      <c r="T11" s="46" t="s">
        <v>76</v>
      </c>
      <c r="U11" s="46" t="s">
        <v>58</v>
      </c>
      <c r="V11" s="46" t="s">
        <v>59</v>
      </c>
      <c r="W11" s="46"/>
      <c r="X11" s="46"/>
      <c r="Y11" s="46" t="s">
        <v>30</v>
      </c>
      <c r="Z11" s="46"/>
      <c r="AA11" s="47" t="s">
        <v>79</v>
      </c>
    </row>
    <row r="12" spans="1:27" ht="30" x14ac:dyDescent="0.25">
      <c r="A12" s="40" t="s">
        <v>80</v>
      </c>
      <c r="B12" s="41" t="s">
        <v>532</v>
      </c>
      <c r="C12" s="41" t="s">
        <v>81</v>
      </c>
      <c r="D12" s="48">
        <v>15458</v>
      </c>
      <c r="E12" s="48">
        <v>13884</v>
      </c>
      <c r="F12" s="48">
        <v>14134</v>
      </c>
      <c r="G12" s="48">
        <v>16152</v>
      </c>
      <c r="H12" s="48">
        <v>17089</v>
      </c>
      <c r="I12" s="48"/>
      <c r="J12" s="43"/>
      <c r="K12" s="43" t="s">
        <v>78</v>
      </c>
      <c r="L12" s="46"/>
      <c r="M12" s="46"/>
      <c r="N12" s="46" t="s">
        <v>21</v>
      </c>
      <c r="O12" s="46" t="s">
        <v>547</v>
      </c>
      <c r="P12" s="46" t="s">
        <v>82</v>
      </c>
      <c r="Q12" s="46" t="s">
        <v>531</v>
      </c>
      <c r="R12" s="46" t="s">
        <v>535</v>
      </c>
      <c r="S12" s="46" t="s">
        <v>26</v>
      </c>
      <c r="T12" s="46" t="s">
        <v>83</v>
      </c>
      <c r="U12" s="46" t="s">
        <v>58</v>
      </c>
      <c r="V12" s="46" t="s">
        <v>59</v>
      </c>
      <c r="W12" s="46"/>
      <c r="X12" s="46"/>
      <c r="Y12" s="46" t="s">
        <v>30</v>
      </c>
      <c r="Z12" s="46"/>
      <c r="AA12" s="47" t="s">
        <v>84</v>
      </c>
    </row>
    <row r="13" spans="1:27" ht="30" x14ac:dyDescent="0.25">
      <c r="A13" s="40" t="s">
        <v>85</v>
      </c>
      <c r="B13" s="41" t="s">
        <v>532</v>
      </c>
      <c r="C13" s="41" t="s">
        <v>553</v>
      </c>
      <c r="D13" s="48">
        <v>1619</v>
      </c>
      <c r="E13" s="48">
        <v>1243</v>
      </c>
      <c r="F13" s="48">
        <v>566</v>
      </c>
      <c r="G13" s="48">
        <v>588</v>
      </c>
      <c r="H13" s="48">
        <v>625</v>
      </c>
      <c r="I13" s="48"/>
      <c r="J13" s="55"/>
      <c r="K13" s="55"/>
      <c r="L13" s="46"/>
      <c r="M13" s="46"/>
      <c r="N13" s="46" t="s">
        <v>21</v>
      </c>
      <c r="O13" s="46" t="s">
        <v>547</v>
      </c>
      <c r="P13" s="46" t="s">
        <v>86</v>
      </c>
      <c r="Q13" s="46" t="s">
        <v>531</v>
      </c>
      <c r="R13" s="46" t="s">
        <v>42</v>
      </c>
      <c r="S13" s="46" t="s">
        <v>26</v>
      </c>
      <c r="T13" s="46" t="s">
        <v>87</v>
      </c>
      <c r="U13" s="46" t="s">
        <v>70</v>
      </c>
      <c r="V13" s="46" t="s">
        <v>59</v>
      </c>
      <c r="W13" s="46"/>
      <c r="X13" s="46"/>
      <c r="Y13" s="46" t="s">
        <v>30</v>
      </c>
      <c r="Z13" s="46"/>
      <c r="AA13" s="47" t="s">
        <v>88</v>
      </c>
    </row>
    <row r="14" spans="1:27" ht="30" x14ac:dyDescent="0.25">
      <c r="A14" s="40" t="s">
        <v>89</v>
      </c>
      <c r="B14" s="41" t="s">
        <v>530</v>
      </c>
      <c r="C14" s="41" t="s">
        <v>91</v>
      </c>
      <c r="D14" s="56"/>
      <c r="E14" s="56"/>
      <c r="F14" s="56">
        <v>0.78200000000000003</v>
      </c>
      <c r="G14" s="56">
        <v>0.81299999999999994</v>
      </c>
      <c r="H14" s="56">
        <v>0.82</v>
      </c>
      <c r="I14" s="56">
        <v>0.88200000000000001</v>
      </c>
      <c r="J14" s="55">
        <v>0.88200000000000001</v>
      </c>
      <c r="K14" s="55">
        <v>0.9</v>
      </c>
      <c r="L14" s="46"/>
      <c r="M14" s="46"/>
      <c r="N14" s="46" t="s">
        <v>90</v>
      </c>
      <c r="O14" s="46" t="s">
        <v>92</v>
      </c>
      <c r="P14" s="46" t="s">
        <v>23</v>
      </c>
      <c r="Q14" s="46" t="s">
        <v>97</v>
      </c>
      <c r="R14" s="46"/>
      <c r="S14" s="46" t="s">
        <v>95</v>
      </c>
      <c r="T14" s="46" t="s">
        <v>96</v>
      </c>
      <c r="U14" s="46" t="s">
        <v>93</v>
      </c>
      <c r="V14" s="46" t="s">
        <v>94</v>
      </c>
      <c r="W14" s="46"/>
      <c r="X14" s="46"/>
      <c r="Y14" s="46" t="s">
        <v>98</v>
      </c>
      <c r="Z14" s="46"/>
      <c r="AA14" s="47" t="s">
        <v>99</v>
      </c>
    </row>
    <row r="15" spans="1:27" ht="30" x14ac:dyDescent="0.25">
      <c r="A15" s="40" t="s">
        <v>100</v>
      </c>
      <c r="B15" s="41" t="s">
        <v>530</v>
      </c>
      <c r="C15" s="41" t="s">
        <v>101</v>
      </c>
      <c r="D15" s="54"/>
      <c r="E15" s="54"/>
      <c r="F15" s="54">
        <v>12.53</v>
      </c>
      <c r="G15" s="54">
        <v>13.14</v>
      </c>
      <c r="H15" s="54">
        <v>13.16</v>
      </c>
      <c r="I15" s="54">
        <v>14.09</v>
      </c>
      <c r="J15" s="43">
        <v>14.09</v>
      </c>
      <c r="K15" s="43">
        <v>15</v>
      </c>
      <c r="L15" s="46"/>
      <c r="M15" s="46"/>
      <c r="N15" s="46" t="s">
        <v>90</v>
      </c>
      <c r="O15" s="46" t="s">
        <v>92</v>
      </c>
      <c r="P15" s="46" t="s">
        <v>23</v>
      </c>
      <c r="Q15" s="46" t="s">
        <v>104</v>
      </c>
      <c r="R15" s="46"/>
      <c r="S15" s="46" t="s">
        <v>102</v>
      </c>
      <c r="T15" s="46" t="s">
        <v>103</v>
      </c>
      <c r="U15" s="46" t="s">
        <v>93</v>
      </c>
      <c r="V15" s="46" t="s">
        <v>94</v>
      </c>
      <c r="W15" s="46"/>
      <c r="X15" s="46"/>
      <c r="Y15" s="46" t="s">
        <v>98</v>
      </c>
      <c r="Z15" s="46"/>
      <c r="AA15" s="47" t="s">
        <v>105</v>
      </c>
    </row>
    <row r="16" spans="1:27" x14ac:dyDescent="0.25">
      <c r="A16" s="40" t="s">
        <v>106</v>
      </c>
      <c r="B16" s="41" t="s">
        <v>530</v>
      </c>
      <c r="C16" s="41" t="s">
        <v>107</v>
      </c>
      <c r="D16" s="57"/>
      <c r="E16" s="57"/>
      <c r="F16" s="57">
        <v>0.76</v>
      </c>
      <c r="G16" s="57">
        <v>0.7</v>
      </c>
      <c r="H16" s="57">
        <v>0.69</v>
      </c>
      <c r="I16" s="57"/>
      <c r="J16" s="43"/>
      <c r="K16" s="43"/>
      <c r="L16" s="46"/>
      <c r="M16" s="46"/>
      <c r="N16" s="46" t="s">
        <v>90</v>
      </c>
      <c r="O16" s="46" t="s">
        <v>108</v>
      </c>
      <c r="P16" s="46" t="s">
        <v>109</v>
      </c>
      <c r="Q16" s="46" t="s">
        <v>104</v>
      </c>
      <c r="R16" s="46"/>
      <c r="S16" s="46" t="s">
        <v>95</v>
      </c>
      <c r="T16" s="46" t="s">
        <v>112</v>
      </c>
      <c r="U16" s="46" t="s">
        <v>110</v>
      </c>
      <c r="V16" s="46" t="s">
        <v>111</v>
      </c>
      <c r="W16" s="46"/>
      <c r="X16" s="46"/>
      <c r="Y16" s="46" t="s">
        <v>98</v>
      </c>
      <c r="Z16" s="46"/>
      <c r="AA16" s="47" t="s">
        <v>113</v>
      </c>
    </row>
    <row r="17" spans="1:27" x14ac:dyDescent="0.25">
      <c r="A17" s="40" t="s">
        <v>114</v>
      </c>
      <c r="B17" s="41" t="s">
        <v>530</v>
      </c>
      <c r="C17" s="41" t="s">
        <v>115</v>
      </c>
      <c r="D17" s="57"/>
      <c r="E17" s="57"/>
      <c r="F17" s="57">
        <v>0.24</v>
      </c>
      <c r="G17" s="57">
        <v>0.3</v>
      </c>
      <c r="H17" s="57">
        <v>0.31</v>
      </c>
      <c r="I17" s="57"/>
      <c r="J17" s="55"/>
      <c r="K17" s="55"/>
      <c r="L17" s="45"/>
      <c r="M17" s="45"/>
      <c r="N17" s="46" t="s">
        <v>90</v>
      </c>
      <c r="O17" s="46" t="s">
        <v>108</v>
      </c>
      <c r="P17" s="46" t="s">
        <v>116</v>
      </c>
      <c r="Q17" s="46" t="s">
        <v>104</v>
      </c>
      <c r="R17" s="46"/>
      <c r="S17" s="46" t="s">
        <v>95</v>
      </c>
      <c r="T17" s="46" t="s">
        <v>117</v>
      </c>
      <c r="U17" s="46" t="s">
        <v>110</v>
      </c>
      <c r="V17" s="46" t="s">
        <v>111</v>
      </c>
      <c r="W17" s="46"/>
      <c r="X17" s="46"/>
      <c r="Y17" s="46" t="s">
        <v>98</v>
      </c>
      <c r="Z17" s="46"/>
      <c r="AA17" s="47" t="s">
        <v>118</v>
      </c>
    </row>
    <row r="18" spans="1:27" ht="45" x14ac:dyDescent="0.25">
      <c r="A18" s="40" t="s">
        <v>119</v>
      </c>
      <c r="B18" s="41" t="s">
        <v>533</v>
      </c>
      <c r="C18" s="41" t="s">
        <v>120</v>
      </c>
      <c r="D18" s="57">
        <v>0.70199999999999996</v>
      </c>
      <c r="E18" s="57">
        <v>0.67</v>
      </c>
      <c r="F18" s="57">
        <v>0.67300000000000004</v>
      </c>
      <c r="G18" s="57">
        <v>0.71099999999999997</v>
      </c>
      <c r="H18" s="57">
        <v>0.74099999999999999</v>
      </c>
      <c r="I18" s="57">
        <v>0.76080000000000003</v>
      </c>
      <c r="J18" s="55">
        <v>0.76080000000000003</v>
      </c>
      <c r="K18" s="55">
        <v>0.8</v>
      </c>
      <c r="L18" s="45">
        <v>0.74099999999999999</v>
      </c>
      <c r="M18" s="45">
        <v>0.8</v>
      </c>
      <c r="N18" s="46" t="s">
        <v>545</v>
      </c>
      <c r="O18" s="46" t="s">
        <v>121</v>
      </c>
      <c r="P18" s="46" t="s">
        <v>23</v>
      </c>
      <c r="Q18" s="46" t="s">
        <v>104</v>
      </c>
      <c r="R18" s="46" t="s">
        <v>125</v>
      </c>
      <c r="S18" s="46" t="s">
        <v>95</v>
      </c>
      <c r="T18" s="46" t="s">
        <v>124</v>
      </c>
      <c r="U18" s="46" t="s">
        <v>110</v>
      </c>
      <c r="V18" s="46" t="s">
        <v>111</v>
      </c>
      <c r="W18" s="46" t="s">
        <v>122</v>
      </c>
      <c r="X18" s="46" t="s">
        <v>123</v>
      </c>
      <c r="Y18" s="46" t="s">
        <v>98</v>
      </c>
      <c r="Z18" s="46" t="s">
        <v>28</v>
      </c>
      <c r="AA18" s="47" t="s">
        <v>126</v>
      </c>
    </row>
    <row r="19" spans="1:27" ht="30" x14ac:dyDescent="0.25">
      <c r="A19" s="40" t="s">
        <v>127</v>
      </c>
      <c r="B19" s="41" t="s">
        <v>530</v>
      </c>
      <c r="C19" s="41" t="s">
        <v>128</v>
      </c>
      <c r="D19" s="57"/>
      <c r="E19" s="57"/>
      <c r="F19" s="57"/>
      <c r="G19" s="57"/>
      <c r="H19" s="57">
        <v>0.76500000000000001</v>
      </c>
      <c r="I19" s="57">
        <v>0.76100000000000001</v>
      </c>
      <c r="J19" s="55">
        <v>0.76100000000000001</v>
      </c>
      <c r="K19" s="55">
        <v>0.8</v>
      </c>
      <c r="L19" s="46"/>
      <c r="M19" s="46"/>
      <c r="N19" s="46" t="s">
        <v>545</v>
      </c>
      <c r="O19" s="46" t="s">
        <v>121</v>
      </c>
      <c r="P19" s="46" t="s">
        <v>129</v>
      </c>
      <c r="Q19" s="46" t="s">
        <v>104</v>
      </c>
      <c r="R19" s="46" t="s">
        <v>125</v>
      </c>
      <c r="S19" s="46" t="s">
        <v>95</v>
      </c>
      <c r="T19" s="46" t="s">
        <v>130</v>
      </c>
      <c r="U19" s="46" t="s">
        <v>110</v>
      </c>
      <c r="V19" s="46" t="s">
        <v>111</v>
      </c>
      <c r="W19" s="46"/>
      <c r="X19" s="46"/>
      <c r="Y19" s="46" t="s">
        <v>98</v>
      </c>
      <c r="Z19" s="46" t="s">
        <v>28</v>
      </c>
      <c r="AA19" s="47" t="s">
        <v>131</v>
      </c>
    </row>
    <row r="20" spans="1:27" x14ac:dyDescent="0.25">
      <c r="A20" s="40" t="s">
        <v>132</v>
      </c>
      <c r="B20" s="41" t="s">
        <v>530</v>
      </c>
      <c r="C20" s="41" t="s">
        <v>133</v>
      </c>
      <c r="D20" s="57"/>
      <c r="E20" s="57"/>
      <c r="F20" s="57"/>
      <c r="G20" s="57"/>
      <c r="H20" s="57">
        <v>0.75900000000000001</v>
      </c>
      <c r="I20" s="57"/>
      <c r="J20" s="43"/>
      <c r="K20" s="43"/>
      <c r="L20" s="46"/>
      <c r="M20" s="46"/>
      <c r="N20" s="46" t="s">
        <v>545</v>
      </c>
      <c r="O20" s="46" t="s">
        <v>121</v>
      </c>
      <c r="P20" s="46" t="s">
        <v>109</v>
      </c>
      <c r="Q20" s="46" t="s">
        <v>104</v>
      </c>
      <c r="R20" s="46"/>
      <c r="S20" s="46" t="s">
        <v>95</v>
      </c>
      <c r="T20" s="46" t="s">
        <v>134</v>
      </c>
      <c r="U20" s="46" t="s">
        <v>110</v>
      </c>
      <c r="V20" s="46" t="s">
        <v>111</v>
      </c>
      <c r="W20" s="46"/>
      <c r="X20" s="46"/>
      <c r="Y20" s="46" t="s">
        <v>98</v>
      </c>
      <c r="Z20" s="46" t="s">
        <v>28</v>
      </c>
      <c r="AA20" s="47" t="s">
        <v>135</v>
      </c>
    </row>
    <row r="21" spans="1:27" x14ac:dyDescent="0.25">
      <c r="A21" s="18" t="s">
        <v>136</v>
      </c>
      <c r="B21" s="3" t="s">
        <v>34</v>
      </c>
      <c r="C21" s="3" t="s">
        <v>137</v>
      </c>
      <c r="D21" s="15">
        <v>0.90300000000000002</v>
      </c>
      <c r="E21" s="15">
        <v>0.89800000000000002</v>
      </c>
      <c r="F21" s="15">
        <v>0.90500000000000003</v>
      </c>
      <c r="G21" s="15">
        <v>0.91800000000000004</v>
      </c>
      <c r="H21" s="15">
        <v>0.92400000000000004</v>
      </c>
      <c r="I21" s="15">
        <v>0.93500000000000005</v>
      </c>
      <c r="J21" s="17"/>
      <c r="K21" s="17"/>
      <c r="L21" s="17"/>
      <c r="M21" s="17"/>
      <c r="N21" s="4" t="s">
        <v>545</v>
      </c>
      <c r="O21" s="4" t="s">
        <v>138</v>
      </c>
      <c r="P21" s="4" t="s">
        <v>23</v>
      </c>
      <c r="Q21" s="4" t="s">
        <v>104</v>
      </c>
      <c r="R21" s="4"/>
      <c r="S21" s="4" t="s">
        <v>95</v>
      </c>
      <c r="T21" s="4" t="s">
        <v>139</v>
      </c>
      <c r="U21" s="4"/>
      <c r="V21" s="4"/>
      <c r="W21" s="4"/>
      <c r="X21" s="4"/>
      <c r="Y21" s="4" t="s">
        <v>98</v>
      </c>
      <c r="Z21" s="4" t="s">
        <v>28</v>
      </c>
      <c r="AA21" s="20" t="s">
        <v>140</v>
      </c>
    </row>
    <row r="22" spans="1:27" ht="60" x14ac:dyDescent="0.25">
      <c r="A22" s="19" t="s">
        <v>559</v>
      </c>
      <c r="B22" s="5" t="s">
        <v>532</v>
      </c>
      <c r="C22" s="5" t="s">
        <v>560</v>
      </c>
      <c r="D22" s="34">
        <v>0.68100000000000005</v>
      </c>
      <c r="E22" s="34">
        <v>0.64300000000000002</v>
      </c>
      <c r="F22" s="34">
        <v>0.66600000000000004</v>
      </c>
      <c r="G22" s="34">
        <v>0.66200000000000003</v>
      </c>
      <c r="H22" s="34">
        <v>0.67800000000000005</v>
      </c>
      <c r="I22" s="34">
        <v>0.68200000000000005</v>
      </c>
      <c r="J22" s="37">
        <v>0.68200000000000005</v>
      </c>
      <c r="K22" s="37">
        <v>0.73</v>
      </c>
      <c r="L22" s="4"/>
      <c r="M22" s="4"/>
      <c r="N22" s="4" t="s">
        <v>545</v>
      </c>
      <c r="O22" s="4" t="s">
        <v>141</v>
      </c>
      <c r="P22" s="4" t="s">
        <v>23</v>
      </c>
      <c r="Q22" s="4" t="s">
        <v>561</v>
      </c>
      <c r="R22" s="4" t="s">
        <v>143</v>
      </c>
      <c r="S22" s="4" t="s">
        <v>95</v>
      </c>
      <c r="T22" s="4" t="s">
        <v>562</v>
      </c>
      <c r="U22" s="4" t="s">
        <v>93</v>
      </c>
      <c r="V22" s="4" t="s">
        <v>111</v>
      </c>
      <c r="W22" s="4"/>
      <c r="X22" s="4"/>
      <c r="Y22" s="4" t="s">
        <v>98</v>
      </c>
      <c r="Z22" s="4" t="s">
        <v>28</v>
      </c>
      <c r="AA22" s="20" t="s">
        <v>563</v>
      </c>
    </row>
    <row r="23" spans="1:27" ht="45" x14ac:dyDescent="0.25">
      <c r="A23" s="19" t="s">
        <v>564</v>
      </c>
      <c r="B23" s="5" t="s">
        <v>189</v>
      </c>
      <c r="C23" s="5" t="s">
        <v>565</v>
      </c>
      <c r="D23" s="34"/>
      <c r="E23" s="34"/>
      <c r="F23" s="34"/>
      <c r="G23" s="34"/>
      <c r="H23" s="34">
        <v>0.68</v>
      </c>
      <c r="I23" s="34"/>
      <c r="J23" s="4"/>
      <c r="K23" s="4"/>
      <c r="L23" s="51">
        <v>0.68</v>
      </c>
      <c r="M23" s="51">
        <v>0.73</v>
      </c>
      <c r="N23" s="4" t="s">
        <v>545</v>
      </c>
      <c r="O23" s="4" t="s">
        <v>141</v>
      </c>
      <c r="P23" s="4" t="s">
        <v>566</v>
      </c>
      <c r="Q23" s="4" t="s">
        <v>567</v>
      </c>
      <c r="R23" s="4" t="s">
        <v>143</v>
      </c>
      <c r="S23" s="4" t="s">
        <v>95</v>
      </c>
      <c r="T23" s="4" t="s">
        <v>597</v>
      </c>
      <c r="U23" s="4"/>
      <c r="V23" s="4"/>
      <c r="W23" s="4" t="s">
        <v>122</v>
      </c>
      <c r="X23" s="4" t="s">
        <v>142</v>
      </c>
      <c r="Y23" s="4" t="s">
        <v>98</v>
      </c>
      <c r="Z23" s="4" t="s">
        <v>28</v>
      </c>
      <c r="AA23" s="20" t="s">
        <v>568</v>
      </c>
    </row>
    <row r="24" spans="1:27" ht="45" x14ac:dyDescent="0.25">
      <c r="A24" s="40" t="s">
        <v>144</v>
      </c>
      <c r="B24" s="41" t="s">
        <v>532</v>
      </c>
      <c r="C24" s="41" t="s">
        <v>146</v>
      </c>
      <c r="D24" s="57">
        <v>0.73899999999999999</v>
      </c>
      <c r="E24" s="57">
        <v>0.67200000000000004</v>
      </c>
      <c r="F24" s="57">
        <v>0.59799999999999998</v>
      </c>
      <c r="G24" s="57">
        <v>0.57799999999999996</v>
      </c>
      <c r="H24" s="57">
        <v>0.59599999999999997</v>
      </c>
      <c r="I24" s="57">
        <v>0.626</v>
      </c>
      <c r="J24" s="55">
        <v>0.626</v>
      </c>
      <c r="K24" s="43"/>
      <c r="L24" s="46"/>
      <c r="M24" s="46"/>
      <c r="N24" s="46" t="s">
        <v>145</v>
      </c>
      <c r="O24" s="46" t="s">
        <v>147</v>
      </c>
      <c r="P24" s="46" t="s">
        <v>148</v>
      </c>
      <c r="Q24" s="46" t="s">
        <v>150</v>
      </c>
      <c r="R24" s="46"/>
      <c r="S24" s="46" t="s">
        <v>95</v>
      </c>
      <c r="T24" s="46" t="s">
        <v>149</v>
      </c>
      <c r="U24" s="46" t="s">
        <v>93</v>
      </c>
      <c r="V24" s="46" t="s">
        <v>111</v>
      </c>
      <c r="W24" s="46"/>
      <c r="X24" s="46"/>
      <c r="Y24" s="46" t="s">
        <v>151</v>
      </c>
      <c r="Z24" s="46"/>
      <c r="AA24" s="47" t="s">
        <v>152</v>
      </c>
    </row>
    <row r="25" spans="1:27" x14ac:dyDescent="0.25">
      <c r="A25" s="18" t="s">
        <v>153</v>
      </c>
      <c r="B25" s="3" t="s">
        <v>34</v>
      </c>
      <c r="C25" s="3" t="s">
        <v>154</v>
      </c>
      <c r="D25" s="15"/>
      <c r="E25" s="15">
        <v>19017</v>
      </c>
      <c r="F25" s="15">
        <v>18256</v>
      </c>
      <c r="G25" s="15">
        <v>19376</v>
      </c>
      <c r="H25" s="15">
        <v>21502</v>
      </c>
      <c r="I25" s="15">
        <v>22898</v>
      </c>
      <c r="J25" s="4"/>
      <c r="K25" s="4"/>
      <c r="L25" s="17"/>
      <c r="M25" s="17"/>
      <c r="N25" s="4" t="s">
        <v>145</v>
      </c>
      <c r="O25" s="4" t="s">
        <v>147</v>
      </c>
      <c r="P25" s="4" t="s">
        <v>188</v>
      </c>
      <c r="Q25" s="4" t="s">
        <v>156</v>
      </c>
      <c r="R25" s="4"/>
      <c r="S25" s="4" t="s">
        <v>26</v>
      </c>
      <c r="T25" s="4" t="s">
        <v>155</v>
      </c>
      <c r="U25" s="4"/>
      <c r="V25" s="4"/>
      <c r="W25" s="4"/>
      <c r="X25" s="4"/>
      <c r="Y25" s="4" t="s">
        <v>30</v>
      </c>
      <c r="Z25" s="4"/>
      <c r="AA25" s="20" t="s">
        <v>157</v>
      </c>
    </row>
    <row r="26" spans="1:27" x14ac:dyDescent="0.25">
      <c r="A26" s="18" t="s">
        <v>158</v>
      </c>
      <c r="B26" s="3" t="s">
        <v>34</v>
      </c>
      <c r="C26" s="3" t="s">
        <v>159</v>
      </c>
      <c r="D26" s="15">
        <v>16211</v>
      </c>
      <c r="E26" s="15">
        <v>16009</v>
      </c>
      <c r="F26" s="15">
        <v>18116</v>
      </c>
      <c r="G26" s="15">
        <v>20965</v>
      </c>
      <c r="H26" s="15">
        <v>22121</v>
      </c>
      <c r="I26" s="15">
        <v>20297</v>
      </c>
      <c r="J26" s="4"/>
      <c r="K26" s="4"/>
      <c r="L26" s="17"/>
      <c r="M26" s="17"/>
      <c r="N26" s="4" t="s">
        <v>145</v>
      </c>
      <c r="O26" s="4" t="s">
        <v>147</v>
      </c>
      <c r="P26" s="4" t="s">
        <v>160</v>
      </c>
      <c r="Q26" s="4" t="s">
        <v>156</v>
      </c>
      <c r="R26" s="4"/>
      <c r="S26" s="4" t="s">
        <v>26</v>
      </c>
      <c r="T26" s="4" t="s">
        <v>161</v>
      </c>
      <c r="U26" s="4"/>
      <c r="V26" s="4"/>
      <c r="W26" s="4"/>
      <c r="X26" s="4"/>
      <c r="Y26" s="4" t="s">
        <v>30</v>
      </c>
      <c r="Z26" s="4"/>
      <c r="AA26" s="20" t="s">
        <v>162</v>
      </c>
    </row>
    <row r="27" spans="1:27" ht="45" x14ac:dyDescent="0.25">
      <c r="A27" s="40" t="s">
        <v>163</v>
      </c>
      <c r="B27" s="41" t="s">
        <v>534</v>
      </c>
      <c r="C27" s="41" t="s">
        <v>164</v>
      </c>
      <c r="D27" s="54">
        <v>897</v>
      </c>
      <c r="E27" s="54">
        <v>839</v>
      </c>
      <c r="F27" s="54">
        <v>1085</v>
      </c>
      <c r="G27" s="54">
        <v>1086</v>
      </c>
      <c r="H27" s="54"/>
      <c r="I27" s="54"/>
      <c r="J27" s="46"/>
      <c r="K27" s="46"/>
      <c r="L27" s="45">
        <v>0.15</v>
      </c>
      <c r="M27" s="45">
        <v>0.2</v>
      </c>
      <c r="N27" s="46" t="s">
        <v>145</v>
      </c>
      <c r="O27" s="46" t="s">
        <v>165</v>
      </c>
      <c r="P27" s="46" t="s">
        <v>166</v>
      </c>
      <c r="Q27" s="46" t="s">
        <v>169</v>
      </c>
      <c r="R27" s="46" t="s">
        <v>535</v>
      </c>
      <c r="S27" s="46" t="s">
        <v>167</v>
      </c>
      <c r="T27" s="46" t="s">
        <v>168</v>
      </c>
      <c r="U27" s="46"/>
      <c r="V27" s="46"/>
      <c r="W27" s="46" t="s">
        <v>122</v>
      </c>
      <c r="X27" s="46" t="s">
        <v>123</v>
      </c>
      <c r="Y27" s="46" t="s">
        <v>170</v>
      </c>
      <c r="Z27" s="46" t="s">
        <v>28</v>
      </c>
      <c r="AA27" s="47" t="s">
        <v>171</v>
      </c>
    </row>
    <row r="28" spans="1:27" ht="45" x14ac:dyDescent="0.25">
      <c r="A28" s="40" t="s">
        <v>172</v>
      </c>
      <c r="B28" s="41" t="s">
        <v>534</v>
      </c>
      <c r="C28" s="41" t="s">
        <v>173</v>
      </c>
      <c r="D28" s="54">
        <v>1874</v>
      </c>
      <c r="E28" s="54">
        <v>1929</v>
      </c>
      <c r="F28" s="54">
        <v>2056</v>
      </c>
      <c r="G28" s="54">
        <v>2435</v>
      </c>
      <c r="H28" s="54"/>
      <c r="I28" s="54"/>
      <c r="J28" s="46"/>
      <c r="K28" s="46"/>
      <c r="L28" s="45">
        <v>0.31</v>
      </c>
      <c r="M28" s="45">
        <v>0.35</v>
      </c>
      <c r="N28" s="46" t="s">
        <v>145</v>
      </c>
      <c r="O28" s="46" t="s">
        <v>165</v>
      </c>
      <c r="P28" s="46" t="s">
        <v>174</v>
      </c>
      <c r="Q28" s="46" t="s">
        <v>176</v>
      </c>
      <c r="R28" s="46" t="s">
        <v>535</v>
      </c>
      <c r="S28" s="46" t="s">
        <v>167</v>
      </c>
      <c r="T28" s="46" t="s">
        <v>175</v>
      </c>
      <c r="U28" s="46"/>
      <c r="V28" s="46"/>
      <c r="W28" s="46" t="s">
        <v>122</v>
      </c>
      <c r="X28" s="46" t="s">
        <v>123</v>
      </c>
      <c r="Y28" s="46" t="s">
        <v>170</v>
      </c>
      <c r="Z28" s="46" t="s">
        <v>28</v>
      </c>
      <c r="AA28" s="47" t="s">
        <v>177</v>
      </c>
    </row>
    <row r="29" spans="1:27" ht="75" x14ac:dyDescent="0.25">
      <c r="A29" s="40" t="s">
        <v>178</v>
      </c>
      <c r="B29" s="41" t="s">
        <v>532</v>
      </c>
      <c r="C29" s="41" t="s">
        <v>179</v>
      </c>
      <c r="D29" s="48"/>
      <c r="E29" s="48"/>
      <c r="F29" s="48">
        <v>925</v>
      </c>
      <c r="G29" s="48">
        <v>895</v>
      </c>
      <c r="H29" s="48">
        <v>902</v>
      </c>
      <c r="I29" s="48"/>
      <c r="J29" s="43"/>
      <c r="K29" s="43"/>
      <c r="L29" s="46"/>
      <c r="M29" s="46"/>
      <c r="N29" s="46" t="s">
        <v>145</v>
      </c>
      <c r="O29" s="46" t="s">
        <v>165</v>
      </c>
      <c r="P29" s="46" t="s">
        <v>180</v>
      </c>
      <c r="Q29" s="46" t="s">
        <v>182</v>
      </c>
      <c r="R29" s="46" t="s">
        <v>42</v>
      </c>
      <c r="S29" s="46" t="s">
        <v>26</v>
      </c>
      <c r="T29" s="46" t="s">
        <v>181</v>
      </c>
      <c r="U29" s="46" t="s">
        <v>110</v>
      </c>
      <c r="V29" s="46" t="s">
        <v>111</v>
      </c>
      <c r="W29" s="46"/>
      <c r="X29" s="46"/>
      <c r="Y29" s="46" t="s">
        <v>170</v>
      </c>
      <c r="Z29" s="46"/>
      <c r="AA29" s="47" t="s">
        <v>183</v>
      </c>
    </row>
    <row r="30" spans="1:27" ht="30" x14ac:dyDescent="0.25">
      <c r="A30" s="40" t="s">
        <v>184</v>
      </c>
      <c r="B30" s="41" t="s">
        <v>189</v>
      </c>
      <c r="C30" s="41" t="s">
        <v>186</v>
      </c>
      <c r="D30" s="54"/>
      <c r="E30" s="54"/>
      <c r="F30" s="54"/>
      <c r="G30" s="54"/>
      <c r="H30" s="48">
        <v>2077</v>
      </c>
      <c r="I30" s="54"/>
      <c r="J30" s="46"/>
      <c r="K30" s="46"/>
      <c r="L30" s="46">
        <v>2077</v>
      </c>
      <c r="M30" s="46">
        <v>3264</v>
      </c>
      <c r="N30" s="46" t="s">
        <v>185</v>
      </c>
      <c r="O30" s="46" t="s">
        <v>187</v>
      </c>
      <c r="P30" s="46" t="s">
        <v>188</v>
      </c>
      <c r="Q30" s="46" t="s">
        <v>193</v>
      </c>
      <c r="R30" s="46" t="s">
        <v>536</v>
      </c>
      <c r="S30" s="46" t="s">
        <v>191</v>
      </c>
      <c r="T30" s="46" t="s">
        <v>192</v>
      </c>
      <c r="U30" s="46"/>
      <c r="V30" s="46"/>
      <c r="W30" s="46" t="s">
        <v>122</v>
      </c>
      <c r="X30" s="46" t="s">
        <v>190</v>
      </c>
      <c r="Y30" s="46" t="s">
        <v>194</v>
      </c>
      <c r="Z30" s="46" t="s">
        <v>28</v>
      </c>
      <c r="AA30" s="47" t="s">
        <v>195</v>
      </c>
    </row>
    <row r="31" spans="1:27" ht="60" x14ac:dyDescent="0.25">
      <c r="A31" s="19" t="s">
        <v>569</v>
      </c>
      <c r="B31" s="5" t="s">
        <v>532</v>
      </c>
      <c r="C31" s="5" t="s">
        <v>598</v>
      </c>
      <c r="D31" s="33">
        <v>1283</v>
      </c>
      <c r="E31" s="33">
        <v>1123</v>
      </c>
      <c r="F31" s="33">
        <v>1115</v>
      </c>
      <c r="G31" s="33">
        <v>1088</v>
      </c>
      <c r="H31" s="33">
        <v>1375</v>
      </c>
      <c r="I31" s="33"/>
      <c r="J31" s="36"/>
      <c r="K31" s="36"/>
      <c r="L31" s="4"/>
      <c r="M31" s="4"/>
      <c r="N31" s="4" t="s">
        <v>185</v>
      </c>
      <c r="O31" s="4" t="s">
        <v>187</v>
      </c>
      <c r="P31" s="4" t="s">
        <v>570</v>
      </c>
      <c r="Q31" s="4" t="s">
        <v>531</v>
      </c>
      <c r="R31" s="4" t="s">
        <v>537</v>
      </c>
      <c r="S31" s="4" t="s">
        <v>191</v>
      </c>
      <c r="T31" s="4" t="s">
        <v>571</v>
      </c>
      <c r="U31" s="4" t="s">
        <v>93</v>
      </c>
      <c r="V31" s="4" t="s">
        <v>196</v>
      </c>
      <c r="W31" s="4"/>
      <c r="X31" s="4"/>
      <c r="Y31" s="4" t="s">
        <v>194</v>
      </c>
      <c r="Z31" s="4" t="s">
        <v>28</v>
      </c>
      <c r="AA31" s="20" t="s">
        <v>572</v>
      </c>
    </row>
    <row r="32" spans="1:27" ht="45" x14ac:dyDescent="0.25">
      <c r="A32" s="19" t="s">
        <v>573</v>
      </c>
      <c r="B32" s="5" t="s">
        <v>189</v>
      </c>
      <c r="C32" s="5" t="s">
        <v>599</v>
      </c>
      <c r="D32" s="16"/>
      <c r="E32" s="16"/>
      <c r="F32" s="16"/>
      <c r="G32" s="16"/>
      <c r="H32" s="33">
        <v>1486</v>
      </c>
      <c r="I32" s="16"/>
      <c r="J32" s="4"/>
      <c r="K32" s="4"/>
      <c r="L32" s="4">
        <v>1486</v>
      </c>
      <c r="M32" s="4">
        <v>1620</v>
      </c>
      <c r="N32" s="4" t="s">
        <v>185</v>
      </c>
      <c r="O32" s="4" t="s">
        <v>187</v>
      </c>
      <c r="P32" s="4" t="s">
        <v>574</v>
      </c>
      <c r="Q32" s="4" t="s">
        <v>193</v>
      </c>
      <c r="R32" s="4" t="s">
        <v>537</v>
      </c>
      <c r="S32" s="4" t="s">
        <v>191</v>
      </c>
      <c r="T32" s="4" t="s">
        <v>575</v>
      </c>
      <c r="U32" s="4"/>
      <c r="V32" s="4"/>
      <c r="W32" s="4" t="s">
        <v>122</v>
      </c>
      <c r="X32" s="4" t="s">
        <v>190</v>
      </c>
      <c r="Y32" s="4" t="s">
        <v>194</v>
      </c>
      <c r="Z32" s="4" t="s">
        <v>28</v>
      </c>
      <c r="AA32" s="20" t="s">
        <v>576</v>
      </c>
    </row>
    <row r="33" spans="1:27" ht="45" x14ac:dyDescent="0.25">
      <c r="A33" s="40" t="s">
        <v>197</v>
      </c>
      <c r="B33" s="41" t="s">
        <v>532</v>
      </c>
      <c r="C33" s="41" t="s">
        <v>198</v>
      </c>
      <c r="D33" s="48">
        <v>812</v>
      </c>
      <c r="E33" s="48">
        <v>728</v>
      </c>
      <c r="F33" s="48">
        <v>573</v>
      </c>
      <c r="G33" s="48">
        <v>523</v>
      </c>
      <c r="H33" s="48">
        <v>544</v>
      </c>
      <c r="I33" s="48"/>
      <c r="J33" s="43"/>
      <c r="K33" s="43"/>
      <c r="L33" s="46"/>
      <c r="M33" s="46"/>
      <c r="N33" s="46" t="s">
        <v>185</v>
      </c>
      <c r="O33" s="46" t="s">
        <v>187</v>
      </c>
      <c r="P33" s="46" t="s">
        <v>199</v>
      </c>
      <c r="Q33" s="46" t="s">
        <v>77</v>
      </c>
      <c r="R33" s="46" t="s">
        <v>537</v>
      </c>
      <c r="S33" s="46" t="s">
        <v>191</v>
      </c>
      <c r="T33" s="46" t="s">
        <v>200</v>
      </c>
      <c r="U33" s="46" t="s">
        <v>93</v>
      </c>
      <c r="V33" s="46" t="s">
        <v>196</v>
      </c>
      <c r="W33" s="46"/>
      <c r="X33" s="46"/>
      <c r="Y33" s="46" t="s">
        <v>194</v>
      </c>
      <c r="Z33" s="46" t="s">
        <v>28</v>
      </c>
      <c r="AA33" s="47" t="s">
        <v>201</v>
      </c>
    </row>
    <row r="34" spans="1:27" ht="60" x14ac:dyDescent="0.25">
      <c r="A34" s="19" t="s">
        <v>577</v>
      </c>
      <c r="B34" s="5" t="s">
        <v>532</v>
      </c>
      <c r="C34" s="5" t="s">
        <v>600</v>
      </c>
      <c r="D34" s="33">
        <v>187</v>
      </c>
      <c r="E34" s="33">
        <v>220</v>
      </c>
      <c r="F34" s="33">
        <v>217</v>
      </c>
      <c r="G34" s="33">
        <v>280</v>
      </c>
      <c r="H34" s="33">
        <v>329</v>
      </c>
      <c r="I34" s="33"/>
      <c r="J34" s="36"/>
      <c r="K34" s="36"/>
      <c r="L34" s="4"/>
      <c r="M34" s="4"/>
      <c r="N34" s="4" t="s">
        <v>185</v>
      </c>
      <c r="O34" s="4" t="s">
        <v>187</v>
      </c>
      <c r="P34" s="4" t="s">
        <v>578</v>
      </c>
      <c r="Q34" s="4" t="s">
        <v>531</v>
      </c>
      <c r="R34" s="4" t="s">
        <v>537</v>
      </c>
      <c r="S34" s="4" t="s">
        <v>191</v>
      </c>
      <c r="T34" s="4" t="s">
        <v>579</v>
      </c>
      <c r="U34" s="4" t="s">
        <v>93</v>
      </c>
      <c r="V34" s="4" t="s">
        <v>196</v>
      </c>
      <c r="W34" s="4"/>
      <c r="X34" s="4"/>
      <c r="Y34" s="4" t="s">
        <v>194</v>
      </c>
      <c r="Z34" s="4" t="s">
        <v>28</v>
      </c>
      <c r="AA34" s="20" t="s">
        <v>580</v>
      </c>
    </row>
    <row r="35" spans="1:27" ht="60" x14ac:dyDescent="0.25">
      <c r="A35" s="19" t="s">
        <v>581</v>
      </c>
      <c r="B35" s="5" t="s">
        <v>189</v>
      </c>
      <c r="C35" s="5" t="s">
        <v>601</v>
      </c>
      <c r="D35" s="16"/>
      <c r="E35" s="16"/>
      <c r="F35" s="16"/>
      <c r="G35" s="16"/>
      <c r="H35" s="33">
        <v>1003</v>
      </c>
      <c r="I35" s="16"/>
      <c r="J35" s="4"/>
      <c r="K35" s="4"/>
      <c r="L35" s="4">
        <v>1003</v>
      </c>
      <c r="M35" s="4">
        <v>1200</v>
      </c>
      <c r="N35" s="4" t="s">
        <v>185</v>
      </c>
      <c r="O35" s="4" t="s">
        <v>187</v>
      </c>
      <c r="P35" s="4" t="s">
        <v>582</v>
      </c>
      <c r="Q35" s="4" t="s">
        <v>193</v>
      </c>
      <c r="R35" s="4" t="s">
        <v>537</v>
      </c>
      <c r="S35" s="4" t="s">
        <v>191</v>
      </c>
      <c r="T35" s="4" t="s">
        <v>583</v>
      </c>
      <c r="U35" s="4"/>
      <c r="V35" s="4"/>
      <c r="W35" s="4" t="s">
        <v>122</v>
      </c>
      <c r="X35" s="4" t="s">
        <v>190</v>
      </c>
      <c r="Y35" s="4" t="s">
        <v>194</v>
      </c>
      <c r="Z35" s="4" t="s">
        <v>28</v>
      </c>
      <c r="AA35" s="20" t="s">
        <v>584</v>
      </c>
    </row>
    <row r="36" spans="1:27" ht="75" x14ac:dyDescent="0.25">
      <c r="A36" s="40" t="s">
        <v>202</v>
      </c>
      <c r="B36" s="41" t="s">
        <v>533</v>
      </c>
      <c r="C36" s="41" t="s">
        <v>203</v>
      </c>
      <c r="D36" s="42"/>
      <c r="E36" s="42"/>
      <c r="F36" s="42">
        <v>83.8</v>
      </c>
      <c r="G36" s="42">
        <v>86.5</v>
      </c>
      <c r="H36" s="42">
        <v>81</v>
      </c>
      <c r="I36" s="42"/>
      <c r="J36" s="43"/>
      <c r="K36" s="43"/>
      <c r="L36" s="44">
        <v>81</v>
      </c>
      <c r="M36" s="44">
        <v>76</v>
      </c>
      <c r="N36" s="46" t="s">
        <v>185</v>
      </c>
      <c r="O36" s="46" t="s">
        <v>204</v>
      </c>
      <c r="P36" s="46" t="s">
        <v>205</v>
      </c>
      <c r="Q36" s="46" t="s">
        <v>208</v>
      </c>
      <c r="R36" s="46" t="s">
        <v>536</v>
      </c>
      <c r="S36" s="46" t="s">
        <v>206</v>
      </c>
      <c r="T36" s="46" t="s">
        <v>207</v>
      </c>
      <c r="U36" s="46" t="s">
        <v>93</v>
      </c>
      <c r="V36" s="46" t="s">
        <v>196</v>
      </c>
      <c r="W36" s="46" t="s">
        <v>122</v>
      </c>
      <c r="X36" s="46" t="s">
        <v>142</v>
      </c>
      <c r="Y36" s="46" t="s">
        <v>194</v>
      </c>
      <c r="Z36" s="46" t="s">
        <v>28</v>
      </c>
      <c r="AA36" s="47" t="s">
        <v>209</v>
      </c>
    </row>
    <row r="37" spans="1:27" ht="60" x14ac:dyDescent="0.25">
      <c r="A37" s="40" t="s">
        <v>210</v>
      </c>
      <c r="B37" s="41" t="s">
        <v>532</v>
      </c>
      <c r="C37" s="41" t="s">
        <v>211</v>
      </c>
      <c r="D37" s="42"/>
      <c r="E37" s="42">
        <v>83</v>
      </c>
      <c r="F37" s="42">
        <v>81</v>
      </c>
      <c r="G37" s="42">
        <v>79</v>
      </c>
      <c r="H37" s="42">
        <v>79</v>
      </c>
      <c r="I37" s="42"/>
      <c r="J37" s="43"/>
      <c r="K37" s="43">
        <v>77</v>
      </c>
      <c r="L37" s="45"/>
      <c r="M37" s="45"/>
      <c r="N37" s="46" t="s">
        <v>185</v>
      </c>
      <c r="O37" s="46" t="s">
        <v>204</v>
      </c>
      <c r="P37" s="46" t="s">
        <v>212</v>
      </c>
      <c r="Q37" s="46" t="s">
        <v>214</v>
      </c>
      <c r="R37" s="46" t="s">
        <v>538</v>
      </c>
      <c r="S37" s="46" t="s">
        <v>206</v>
      </c>
      <c r="T37" s="46" t="s">
        <v>213</v>
      </c>
      <c r="U37" s="46" t="s">
        <v>93</v>
      </c>
      <c r="V37" s="46" t="s">
        <v>196</v>
      </c>
      <c r="W37" s="46"/>
      <c r="X37" s="46"/>
      <c r="Y37" s="46" t="s">
        <v>194</v>
      </c>
      <c r="Z37" s="46" t="s">
        <v>28</v>
      </c>
      <c r="AA37" s="47" t="s">
        <v>215</v>
      </c>
    </row>
    <row r="38" spans="1:27" ht="45" x14ac:dyDescent="0.25">
      <c r="A38" s="40" t="s">
        <v>216</v>
      </c>
      <c r="B38" s="41" t="s">
        <v>530</v>
      </c>
      <c r="C38" s="41" t="s">
        <v>217</v>
      </c>
      <c r="D38" s="42"/>
      <c r="E38" s="42"/>
      <c r="F38" s="42">
        <v>87.6</v>
      </c>
      <c r="G38" s="42">
        <v>87</v>
      </c>
      <c r="H38" s="42">
        <v>89.4</v>
      </c>
      <c r="I38" s="42"/>
      <c r="J38" s="43"/>
      <c r="K38" s="43">
        <v>79</v>
      </c>
      <c r="L38" s="45"/>
      <c r="M38" s="45"/>
      <c r="N38" s="46" t="s">
        <v>185</v>
      </c>
      <c r="O38" s="46" t="s">
        <v>204</v>
      </c>
      <c r="P38" s="46" t="s">
        <v>218</v>
      </c>
      <c r="Q38" s="46" t="s">
        <v>214</v>
      </c>
      <c r="R38" s="46"/>
      <c r="S38" s="46" t="s">
        <v>206</v>
      </c>
      <c r="T38" s="46" t="s">
        <v>219</v>
      </c>
      <c r="U38" s="46" t="s">
        <v>93</v>
      </c>
      <c r="V38" s="46" t="s">
        <v>196</v>
      </c>
      <c r="W38" s="46"/>
      <c r="X38" s="46"/>
      <c r="Y38" s="46" t="s">
        <v>194</v>
      </c>
      <c r="Z38" s="46"/>
      <c r="AA38" s="47" t="s">
        <v>220</v>
      </c>
    </row>
    <row r="39" spans="1:27" ht="45" x14ac:dyDescent="0.25">
      <c r="A39" s="19" t="s">
        <v>585</v>
      </c>
      <c r="B39" s="5" t="s">
        <v>532</v>
      </c>
      <c r="C39" s="5" t="s">
        <v>602</v>
      </c>
      <c r="D39" s="33">
        <v>1062</v>
      </c>
      <c r="E39" s="33">
        <v>1104</v>
      </c>
      <c r="F39" s="33">
        <v>925</v>
      </c>
      <c r="G39" s="33">
        <v>895</v>
      </c>
      <c r="H39" s="33">
        <v>902</v>
      </c>
      <c r="I39" s="33"/>
      <c r="J39" s="36"/>
      <c r="K39" s="36"/>
      <c r="L39" s="17"/>
      <c r="M39" s="17"/>
      <c r="N39" s="4" t="s">
        <v>221</v>
      </c>
      <c r="O39" s="4" t="s">
        <v>222</v>
      </c>
      <c r="P39" s="4" t="s">
        <v>586</v>
      </c>
      <c r="Q39" s="4" t="s">
        <v>531</v>
      </c>
      <c r="R39" s="4" t="s">
        <v>537</v>
      </c>
      <c r="S39" s="4" t="s">
        <v>191</v>
      </c>
      <c r="T39" s="4" t="s">
        <v>587</v>
      </c>
      <c r="U39" s="4" t="s">
        <v>93</v>
      </c>
      <c r="V39" s="4" t="s">
        <v>196</v>
      </c>
      <c r="W39" s="4"/>
      <c r="X39" s="4"/>
      <c r="Y39" s="4" t="s">
        <v>194</v>
      </c>
      <c r="Z39" s="4" t="s">
        <v>28</v>
      </c>
      <c r="AA39" s="20" t="s">
        <v>603</v>
      </c>
    </row>
    <row r="40" spans="1:27" ht="60" x14ac:dyDescent="0.25">
      <c r="A40" s="19" t="s">
        <v>588</v>
      </c>
      <c r="B40" s="5" t="s">
        <v>189</v>
      </c>
      <c r="C40" s="5" t="s">
        <v>589</v>
      </c>
      <c r="D40" s="16"/>
      <c r="E40" s="16"/>
      <c r="F40" s="16"/>
      <c r="G40" s="16"/>
      <c r="H40" s="33">
        <v>2010</v>
      </c>
      <c r="I40" s="16"/>
      <c r="J40" s="4"/>
      <c r="K40" s="4"/>
      <c r="L40" s="50">
        <v>2010</v>
      </c>
      <c r="M40" s="50">
        <v>2300</v>
      </c>
      <c r="N40" s="4" t="s">
        <v>221</v>
      </c>
      <c r="O40" s="4" t="s">
        <v>222</v>
      </c>
      <c r="P40" s="4" t="s">
        <v>590</v>
      </c>
      <c r="Q40" s="4" t="s">
        <v>591</v>
      </c>
      <c r="R40" s="4" t="s">
        <v>537</v>
      </c>
      <c r="S40" s="4" t="s">
        <v>191</v>
      </c>
      <c r="T40" s="4" t="s">
        <v>592</v>
      </c>
      <c r="U40" s="4"/>
      <c r="V40" s="4"/>
      <c r="W40" s="4" t="s">
        <v>223</v>
      </c>
      <c r="X40" s="4" t="s">
        <v>224</v>
      </c>
      <c r="Y40" s="4" t="s">
        <v>194</v>
      </c>
      <c r="Z40" s="4" t="s">
        <v>28</v>
      </c>
      <c r="AA40" s="20" t="s">
        <v>604</v>
      </c>
    </row>
    <row r="41" spans="1:27" ht="75" x14ac:dyDescent="0.25">
      <c r="A41" s="40" t="s">
        <v>225</v>
      </c>
      <c r="B41" s="41" t="s">
        <v>533</v>
      </c>
      <c r="C41" s="41" t="s">
        <v>227</v>
      </c>
      <c r="D41" s="48">
        <v>2648</v>
      </c>
      <c r="E41" s="48">
        <v>2657</v>
      </c>
      <c r="F41" s="48">
        <v>2821</v>
      </c>
      <c r="G41" s="48">
        <v>3212</v>
      </c>
      <c r="H41" s="48">
        <v>3912</v>
      </c>
      <c r="I41" s="48"/>
      <c r="J41" s="43"/>
      <c r="K41" s="43"/>
      <c r="L41" s="52">
        <v>0.13</v>
      </c>
      <c r="M41" s="52">
        <v>0.18</v>
      </c>
      <c r="N41" s="46" t="s">
        <v>226</v>
      </c>
      <c r="O41" s="46" t="s">
        <v>228</v>
      </c>
      <c r="P41" s="46" t="s">
        <v>23</v>
      </c>
      <c r="Q41" s="46" t="s">
        <v>233</v>
      </c>
      <c r="R41" s="46" t="s">
        <v>539</v>
      </c>
      <c r="S41" s="46" t="s">
        <v>231</v>
      </c>
      <c r="T41" s="46" t="s">
        <v>232</v>
      </c>
      <c r="U41" s="46" t="s">
        <v>93</v>
      </c>
      <c r="V41" s="46" t="s">
        <v>196</v>
      </c>
      <c r="W41" s="46" t="s">
        <v>229</v>
      </c>
      <c r="X41" s="46" t="s">
        <v>230</v>
      </c>
      <c r="Y41" s="46" t="s">
        <v>194</v>
      </c>
      <c r="Z41" s="46" t="s">
        <v>28</v>
      </c>
      <c r="AA41" s="47" t="s">
        <v>234</v>
      </c>
    </row>
    <row r="42" spans="1:27" ht="60" x14ac:dyDescent="0.25">
      <c r="A42" s="18" t="s">
        <v>235</v>
      </c>
      <c r="B42" s="3" t="s">
        <v>534</v>
      </c>
      <c r="C42" s="3" t="s">
        <v>236</v>
      </c>
      <c r="D42" s="32">
        <v>3346</v>
      </c>
      <c r="E42" s="32">
        <v>3589</v>
      </c>
      <c r="F42" s="32">
        <v>3805</v>
      </c>
      <c r="G42" s="32">
        <v>2114</v>
      </c>
      <c r="H42" s="32"/>
      <c r="I42" s="32"/>
      <c r="J42" s="4"/>
      <c r="K42" s="4"/>
      <c r="L42" s="17">
        <v>0.45</v>
      </c>
      <c r="M42" s="17">
        <v>0.56000000000000005</v>
      </c>
      <c r="N42" s="4" t="s">
        <v>226</v>
      </c>
      <c r="O42" s="4" t="s">
        <v>237</v>
      </c>
      <c r="P42" s="4" t="s">
        <v>188</v>
      </c>
      <c r="Q42" s="4" t="s">
        <v>240</v>
      </c>
      <c r="R42" s="4" t="s">
        <v>540</v>
      </c>
      <c r="S42" s="4" t="s">
        <v>167</v>
      </c>
      <c r="T42" s="4" t="s">
        <v>239</v>
      </c>
      <c r="U42" s="4"/>
      <c r="V42" s="4"/>
      <c r="W42" s="4" t="s">
        <v>229</v>
      </c>
      <c r="X42" s="4" t="s">
        <v>238</v>
      </c>
      <c r="Y42" s="4" t="s">
        <v>194</v>
      </c>
      <c r="Z42" s="4" t="s">
        <v>28</v>
      </c>
      <c r="AA42" s="20" t="s">
        <v>241</v>
      </c>
    </row>
    <row r="43" spans="1:27" ht="30" x14ac:dyDescent="0.25">
      <c r="A43" s="40" t="s">
        <v>242</v>
      </c>
      <c r="B43" s="41" t="s">
        <v>189</v>
      </c>
      <c r="C43" s="41" t="s">
        <v>243</v>
      </c>
      <c r="D43" s="54"/>
      <c r="E43" s="54"/>
      <c r="F43" s="54"/>
      <c r="G43" s="54"/>
      <c r="H43" s="54"/>
      <c r="I43" s="58">
        <v>0.71</v>
      </c>
      <c r="J43" s="46"/>
      <c r="K43" s="46"/>
      <c r="L43" s="52">
        <v>0.71</v>
      </c>
      <c r="M43" s="52">
        <v>0.8</v>
      </c>
      <c r="N43" s="46" t="s">
        <v>546</v>
      </c>
      <c r="O43" s="46" t="s">
        <v>244</v>
      </c>
      <c r="P43" s="46" t="s">
        <v>245</v>
      </c>
      <c r="Q43" s="46" t="s">
        <v>250</v>
      </c>
      <c r="R43" s="46"/>
      <c r="S43" s="46" t="s">
        <v>95</v>
      </c>
      <c r="T43" s="46" t="s">
        <v>248</v>
      </c>
      <c r="U43" s="46"/>
      <c r="V43" s="46"/>
      <c r="W43" s="46" t="s">
        <v>246</v>
      </c>
      <c r="X43" s="46" t="s">
        <v>247</v>
      </c>
      <c r="Y43" s="46" t="s">
        <v>194</v>
      </c>
      <c r="Z43" s="46" t="s">
        <v>249</v>
      </c>
      <c r="AA43" s="47" t="s">
        <v>251</v>
      </c>
    </row>
    <row r="44" spans="1:27" x14ac:dyDescent="0.25">
      <c r="A44" s="40" t="s">
        <v>252</v>
      </c>
      <c r="B44" s="41" t="s">
        <v>189</v>
      </c>
      <c r="C44" s="41" t="s">
        <v>253</v>
      </c>
      <c r="D44" s="58"/>
      <c r="E44" s="58"/>
      <c r="F44" s="58"/>
      <c r="G44" s="58"/>
      <c r="H44" s="57">
        <v>0.29499999999999998</v>
      </c>
      <c r="I44" s="58"/>
      <c r="J44" s="46"/>
      <c r="K44" s="46"/>
      <c r="L44" s="45">
        <v>0.29499999999999998</v>
      </c>
      <c r="M44" s="45">
        <v>0.35</v>
      </c>
      <c r="N44" s="46" t="s">
        <v>546</v>
      </c>
      <c r="O44" s="46" t="s">
        <v>254</v>
      </c>
      <c r="P44" s="46" t="s">
        <v>255</v>
      </c>
      <c r="Q44" s="46" t="s">
        <v>258</v>
      </c>
      <c r="R44" s="46"/>
      <c r="S44" s="46" t="s">
        <v>95</v>
      </c>
      <c r="T44" s="46" t="s">
        <v>257</v>
      </c>
      <c r="U44" s="46"/>
      <c r="V44" s="46"/>
      <c r="W44" s="46" t="s">
        <v>246</v>
      </c>
      <c r="X44" s="46" t="s">
        <v>256</v>
      </c>
      <c r="Y44" s="46" t="s">
        <v>194</v>
      </c>
      <c r="Z44" s="46" t="s">
        <v>28</v>
      </c>
      <c r="AA44" s="47" t="s">
        <v>259</v>
      </c>
    </row>
    <row r="45" spans="1:27" ht="30" x14ac:dyDescent="0.25">
      <c r="A45" s="40" t="s">
        <v>260</v>
      </c>
      <c r="B45" s="41" t="s">
        <v>189</v>
      </c>
      <c r="C45" s="41" t="s">
        <v>261</v>
      </c>
      <c r="D45" s="58"/>
      <c r="E45" s="58"/>
      <c r="F45" s="58"/>
      <c r="G45" s="58"/>
      <c r="H45" s="58">
        <v>0.49</v>
      </c>
      <c r="I45" s="58"/>
      <c r="J45" s="46"/>
      <c r="K45" s="46"/>
      <c r="L45" s="52">
        <v>0.49</v>
      </c>
      <c r="M45" s="52">
        <v>0.55000000000000004</v>
      </c>
      <c r="N45" s="46" t="s">
        <v>546</v>
      </c>
      <c r="O45" s="46" t="s">
        <v>254</v>
      </c>
      <c r="P45" s="46" t="s">
        <v>262</v>
      </c>
      <c r="Q45" s="46"/>
      <c r="R45" s="46"/>
      <c r="S45" s="46" t="s">
        <v>95</v>
      </c>
      <c r="T45" s="46" t="s">
        <v>264</v>
      </c>
      <c r="U45" s="46"/>
      <c r="V45" s="46"/>
      <c r="W45" s="46" t="s">
        <v>246</v>
      </c>
      <c r="X45" s="46" t="s">
        <v>263</v>
      </c>
      <c r="Y45" s="46" t="s">
        <v>194</v>
      </c>
      <c r="Z45" s="46" t="s">
        <v>265</v>
      </c>
      <c r="AA45" s="47" t="s">
        <v>266</v>
      </c>
    </row>
    <row r="46" spans="1:27" x14ac:dyDescent="0.25">
      <c r="A46" s="40" t="s">
        <v>267</v>
      </c>
      <c r="B46" s="41" t="s">
        <v>189</v>
      </c>
      <c r="C46" s="41" t="s">
        <v>268</v>
      </c>
      <c r="D46" s="48"/>
      <c r="E46" s="48"/>
      <c r="F46" s="48"/>
      <c r="G46" s="48"/>
      <c r="H46" s="48">
        <v>6859</v>
      </c>
      <c r="I46" s="48"/>
      <c r="J46" s="46"/>
      <c r="K46" s="46"/>
      <c r="L46" s="46">
        <v>6859</v>
      </c>
      <c r="M46" s="46"/>
      <c r="N46" s="46" t="s">
        <v>546</v>
      </c>
      <c r="O46" s="46" t="s">
        <v>269</v>
      </c>
      <c r="P46" s="46" t="s">
        <v>270</v>
      </c>
      <c r="Q46" s="46"/>
      <c r="R46" s="46"/>
      <c r="S46" s="46" t="s">
        <v>271</v>
      </c>
      <c r="T46" s="46" t="s">
        <v>272</v>
      </c>
      <c r="U46" s="46"/>
      <c r="V46" s="46"/>
      <c r="W46" s="46" t="s">
        <v>246</v>
      </c>
      <c r="X46" s="46" t="s">
        <v>263</v>
      </c>
      <c r="Y46" s="46" t="s">
        <v>170</v>
      </c>
      <c r="Z46" s="46" t="s">
        <v>265</v>
      </c>
      <c r="AA46" s="47" t="s">
        <v>259</v>
      </c>
    </row>
    <row r="47" spans="1:27" x14ac:dyDescent="0.25">
      <c r="A47" s="18" t="s">
        <v>273</v>
      </c>
      <c r="B47" s="3" t="s">
        <v>189</v>
      </c>
      <c r="C47" s="3" t="s">
        <v>278</v>
      </c>
      <c r="D47" s="49"/>
      <c r="E47" s="49"/>
      <c r="F47" s="49"/>
      <c r="G47" s="49"/>
      <c r="H47" s="49">
        <v>0.71299999999999997</v>
      </c>
      <c r="I47" s="49"/>
      <c r="J47" s="4"/>
      <c r="K47" s="4"/>
      <c r="L47" s="4" t="s">
        <v>283</v>
      </c>
      <c r="M47" s="17">
        <v>0.75</v>
      </c>
      <c r="N47" s="4" t="s">
        <v>546</v>
      </c>
      <c r="O47" s="4" t="s">
        <v>275</v>
      </c>
      <c r="P47" s="4" t="s">
        <v>279</v>
      </c>
      <c r="Q47" s="4" t="s">
        <v>282</v>
      </c>
      <c r="R47" s="4"/>
      <c r="S47" s="4" t="s">
        <v>95</v>
      </c>
      <c r="T47" s="4" t="s">
        <v>281</v>
      </c>
      <c r="U47" s="4"/>
      <c r="V47" s="4"/>
      <c r="W47" s="4" t="s">
        <v>276</v>
      </c>
      <c r="X47" s="4" t="s">
        <v>280</v>
      </c>
      <c r="Y47" s="4" t="s">
        <v>98</v>
      </c>
      <c r="Z47" s="4" t="s">
        <v>28</v>
      </c>
      <c r="AA47" s="20" t="s">
        <v>284</v>
      </c>
    </row>
    <row r="48" spans="1:27" x14ac:dyDescent="0.25">
      <c r="A48" s="18" t="s">
        <v>274</v>
      </c>
      <c r="B48" s="3" t="s">
        <v>34</v>
      </c>
      <c r="C48" s="3" t="s">
        <v>293</v>
      </c>
      <c r="D48" s="32">
        <v>20704</v>
      </c>
      <c r="E48" s="32">
        <v>19473</v>
      </c>
      <c r="F48" s="32">
        <v>19895</v>
      </c>
      <c r="G48" s="32">
        <v>21095</v>
      </c>
      <c r="H48" s="32">
        <v>23238</v>
      </c>
      <c r="I48" s="32">
        <v>24888</v>
      </c>
      <c r="J48" s="4"/>
      <c r="K48" s="4"/>
      <c r="L48" s="4"/>
      <c r="M48" s="4"/>
      <c r="N48" s="4" t="s">
        <v>292</v>
      </c>
      <c r="O48" s="4" t="s">
        <v>294</v>
      </c>
      <c r="P48" s="4" t="s">
        <v>295</v>
      </c>
      <c r="Q48" s="4" t="s">
        <v>29</v>
      </c>
      <c r="R48" s="4"/>
      <c r="S48" s="4" t="s">
        <v>26</v>
      </c>
      <c r="T48" s="4" t="s">
        <v>296</v>
      </c>
      <c r="U48" s="4"/>
      <c r="V48" s="4"/>
      <c r="W48" s="4"/>
      <c r="X48" s="4"/>
      <c r="Y48" s="4"/>
      <c r="Z48" s="4" t="s">
        <v>28</v>
      </c>
      <c r="AA48" s="20"/>
    </row>
    <row r="49" spans="1:27" x14ac:dyDescent="0.25">
      <c r="A49" s="18" t="s">
        <v>277</v>
      </c>
      <c r="B49" s="3" t="s">
        <v>34</v>
      </c>
      <c r="C49" s="3" t="s">
        <v>298</v>
      </c>
      <c r="D49" s="32">
        <v>5677</v>
      </c>
      <c r="E49" s="32">
        <v>5009</v>
      </c>
      <c r="F49" s="32">
        <v>5654</v>
      </c>
      <c r="G49" s="32">
        <v>6084</v>
      </c>
      <c r="H49" s="32">
        <v>7141</v>
      </c>
      <c r="I49" s="32">
        <v>7501</v>
      </c>
      <c r="J49" s="4"/>
      <c r="K49" s="4"/>
      <c r="L49" s="4"/>
      <c r="M49" s="4"/>
      <c r="N49" s="4" t="s">
        <v>292</v>
      </c>
      <c r="O49" s="4" t="s">
        <v>294</v>
      </c>
      <c r="P49" s="4" t="s">
        <v>299</v>
      </c>
      <c r="Q49" s="4" t="s">
        <v>29</v>
      </c>
      <c r="R49" s="4"/>
      <c r="S49" s="4" t="s">
        <v>26</v>
      </c>
      <c r="T49" s="4" t="s">
        <v>300</v>
      </c>
      <c r="U49" s="4"/>
      <c r="V49" s="4"/>
      <c r="W49" s="4"/>
      <c r="X49" s="4"/>
      <c r="Y49" s="4"/>
      <c r="Z49" s="4" t="s">
        <v>28</v>
      </c>
      <c r="AA49" s="20"/>
    </row>
    <row r="50" spans="1:27" x14ac:dyDescent="0.25">
      <c r="A50" s="18" t="s">
        <v>285</v>
      </c>
      <c r="B50" s="3" t="s">
        <v>34</v>
      </c>
      <c r="C50" s="3" t="s">
        <v>302</v>
      </c>
      <c r="D50" s="32">
        <v>14721</v>
      </c>
      <c r="E50" s="32">
        <v>14032</v>
      </c>
      <c r="F50" s="32">
        <v>13585</v>
      </c>
      <c r="G50" s="32">
        <v>14256</v>
      </c>
      <c r="H50" s="32">
        <v>15320</v>
      </c>
      <c r="I50" s="32">
        <v>16649</v>
      </c>
      <c r="J50" s="4"/>
      <c r="K50" s="4"/>
      <c r="L50" s="4"/>
      <c r="M50" s="4"/>
      <c r="N50" s="4" t="s">
        <v>292</v>
      </c>
      <c r="O50" s="4" t="s">
        <v>294</v>
      </c>
      <c r="P50" s="4" t="s">
        <v>303</v>
      </c>
      <c r="Q50" s="4" t="s">
        <v>29</v>
      </c>
      <c r="R50" s="4"/>
      <c r="S50" s="4" t="s">
        <v>26</v>
      </c>
      <c r="T50" s="4" t="s">
        <v>304</v>
      </c>
      <c r="U50" s="4"/>
      <c r="V50" s="4"/>
      <c r="W50" s="4"/>
      <c r="X50" s="4"/>
      <c r="Y50" s="4"/>
      <c r="Z50" s="4" t="s">
        <v>28</v>
      </c>
      <c r="AA50" s="20"/>
    </row>
    <row r="51" spans="1:27" x14ac:dyDescent="0.25">
      <c r="A51" s="18" t="s">
        <v>286</v>
      </c>
      <c r="B51" s="3" t="s">
        <v>34</v>
      </c>
      <c r="C51" s="3" t="s">
        <v>306</v>
      </c>
      <c r="D51" s="32">
        <v>306</v>
      </c>
      <c r="E51" s="32">
        <v>432</v>
      </c>
      <c r="F51" s="32">
        <v>656</v>
      </c>
      <c r="G51" s="32">
        <v>755</v>
      </c>
      <c r="H51" s="32">
        <v>777</v>
      </c>
      <c r="I51" s="32">
        <v>738</v>
      </c>
      <c r="J51" s="4"/>
      <c r="K51" s="4"/>
      <c r="L51" s="4"/>
      <c r="M51" s="4"/>
      <c r="N51" s="4" t="s">
        <v>292</v>
      </c>
      <c r="O51" s="4" t="s">
        <v>294</v>
      </c>
      <c r="P51" s="4" t="s">
        <v>307</v>
      </c>
      <c r="Q51" s="4" t="s">
        <v>29</v>
      </c>
      <c r="R51" s="4"/>
      <c r="S51" s="4" t="s">
        <v>26</v>
      </c>
      <c r="T51" s="4" t="s">
        <v>308</v>
      </c>
      <c r="U51" s="4"/>
      <c r="V51" s="4"/>
      <c r="W51" s="4"/>
      <c r="X51" s="4"/>
      <c r="Y51" s="4"/>
      <c r="Z51" s="4" t="s">
        <v>28</v>
      </c>
      <c r="AA51" s="20"/>
    </row>
    <row r="52" spans="1:27" x14ac:dyDescent="0.25">
      <c r="A52" s="18" t="s">
        <v>287</v>
      </c>
      <c r="B52" s="3" t="s">
        <v>34</v>
      </c>
      <c r="C52" s="3" t="s">
        <v>310</v>
      </c>
      <c r="D52" s="32">
        <v>18679</v>
      </c>
      <c r="E52" s="32">
        <v>17629</v>
      </c>
      <c r="F52" s="32">
        <v>19791</v>
      </c>
      <c r="G52" s="32">
        <v>21012</v>
      </c>
      <c r="H52" s="32">
        <v>23427</v>
      </c>
      <c r="I52" s="32">
        <v>23474</v>
      </c>
      <c r="J52" s="4"/>
      <c r="K52" s="4"/>
      <c r="L52" s="4"/>
      <c r="M52" s="4"/>
      <c r="N52" s="4" t="s">
        <v>292</v>
      </c>
      <c r="O52" s="4" t="s">
        <v>294</v>
      </c>
      <c r="P52" s="4" t="s">
        <v>311</v>
      </c>
      <c r="Q52" s="4" t="s">
        <v>29</v>
      </c>
      <c r="R52" s="4"/>
      <c r="S52" s="4" t="s">
        <v>26</v>
      </c>
      <c r="T52" s="4" t="s">
        <v>312</v>
      </c>
      <c r="U52" s="4"/>
      <c r="V52" s="4"/>
      <c r="W52" s="4"/>
      <c r="X52" s="4"/>
      <c r="Y52" s="4"/>
      <c r="Z52" s="4" t="s">
        <v>28</v>
      </c>
      <c r="AA52" s="20"/>
    </row>
    <row r="53" spans="1:27" x14ac:dyDescent="0.25">
      <c r="A53" s="18" t="s">
        <v>288</v>
      </c>
      <c r="B53" s="3" t="s">
        <v>34</v>
      </c>
      <c r="C53" s="3" t="s">
        <v>314</v>
      </c>
      <c r="D53" s="32">
        <v>4633</v>
      </c>
      <c r="E53" s="32">
        <v>4394</v>
      </c>
      <c r="F53" s="32">
        <v>5147</v>
      </c>
      <c r="G53" s="32">
        <v>5700</v>
      </c>
      <c r="H53" s="32">
        <v>6714</v>
      </c>
      <c r="I53" s="32">
        <v>6393</v>
      </c>
      <c r="J53" s="4"/>
      <c r="K53" s="4"/>
      <c r="L53" s="4"/>
      <c r="M53" s="4"/>
      <c r="N53" s="4" t="s">
        <v>292</v>
      </c>
      <c r="O53" s="4" t="s">
        <v>294</v>
      </c>
      <c r="P53" s="4" t="s">
        <v>315</v>
      </c>
      <c r="Q53" s="4" t="s">
        <v>29</v>
      </c>
      <c r="R53" s="4"/>
      <c r="S53" s="4" t="s">
        <v>26</v>
      </c>
      <c r="T53" s="4" t="s">
        <v>316</v>
      </c>
      <c r="U53" s="4"/>
      <c r="V53" s="4"/>
      <c r="W53" s="4"/>
      <c r="X53" s="4"/>
      <c r="Y53" s="4"/>
      <c r="Z53" s="4" t="s">
        <v>28</v>
      </c>
      <c r="AA53" s="20"/>
    </row>
    <row r="54" spans="1:27" x14ac:dyDescent="0.25">
      <c r="A54" s="18" t="s">
        <v>289</v>
      </c>
      <c r="B54" s="3" t="s">
        <v>34</v>
      </c>
      <c r="C54" s="3" t="s">
        <v>318</v>
      </c>
      <c r="D54" s="32">
        <v>13733</v>
      </c>
      <c r="E54" s="32">
        <v>12833</v>
      </c>
      <c r="F54" s="32">
        <v>13965</v>
      </c>
      <c r="G54" s="32">
        <v>14578</v>
      </c>
      <c r="H54" s="32">
        <v>15952</v>
      </c>
      <c r="I54" s="32">
        <v>16502</v>
      </c>
      <c r="J54" s="4"/>
      <c r="K54" s="4"/>
      <c r="L54" s="4"/>
      <c r="M54" s="4"/>
      <c r="N54" s="4" t="s">
        <v>292</v>
      </c>
      <c r="O54" s="4" t="s">
        <v>294</v>
      </c>
      <c r="P54" s="4" t="s">
        <v>319</v>
      </c>
      <c r="Q54" s="4" t="s">
        <v>29</v>
      </c>
      <c r="R54" s="4"/>
      <c r="S54" s="4" t="s">
        <v>26</v>
      </c>
      <c r="T54" s="4" t="s">
        <v>320</v>
      </c>
      <c r="U54" s="4"/>
      <c r="V54" s="4"/>
      <c r="W54" s="4"/>
      <c r="X54" s="4"/>
      <c r="Y54" s="4"/>
      <c r="Z54" s="4" t="s">
        <v>28</v>
      </c>
      <c r="AA54" s="20"/>
    </row>
    <row r="55" spans="1:27" x14ac:dyDescent="0.25">
      <c r="A55" s="18" t="s">
        <v>290</v>
      </c>
      <c r="B55" s="3" t="s">
        <v>34</v>
      </c>
      <c r="C55" s="3" t="s">
        <v>322</v>
      </c>
      <c r="D55" s="32">
        <v>313</v>
      </c>
      <c r="E55" s="32">
        <v>402</v>
      </c>
      <c r="F55" s="32">
        <v>679</v>
      </c>
      <c r="G55" s="32">
        <v>734</v>
      </c>
      <c r="H55" s="32">
        <v>761</v>
      </c>
      <c r="I55" s="32">
        <v>579</v>
      </c>
      <c r="J55" s="4"/>
      <c r="K55" s="4"/>
      <c r="L55" s="4"/>
      <c r="M55" s="4"/>
      <c r="N55" s="4" t="s">
        <v>292</v>
      </c>
      <c r="O55" s="4" t="s">
        <v>294</v>
      </c>
      <c r="P55" s="4" t="s">
        <v>323</v>
      </c>
      <c r="Q55" s="4" t="s">
        <v>29</v>
      </c>
      <c r="R55" s="4"/>
      <c r="S55" s="4" t="s">
        <v>26</v>
      </c>
      <c r="T55" s="4" t="s">
        <v>324</v>
      </c>
      <c r="U55" s="4"/>
      <c r="V55" s="4"/>
      <c r="W55" s="4"/>
      <c r="X55" s="4"/>
      <c r="Y55" s="4"/>
      <c r="Z55" s="4" t="s">
        <v>28</v>
      </c>
      <c r="AA55" s="20"/>
    </row>
    <row r="56" spans="1:27" x14ac:dyDescent="0.25">
      <c r="A56" s="18" t="s">
        <v>291</v>
      </c>
      <c r="B56" s="3" t="s">
        <v>34</v>
      </c>
      <c r="C56" s="3" t="s">
        <v>327</v>
      </c>
      <c r="D56" s="32">
        <v>0</v>
      </c>
      <c r="E56" s="32">
        <v>50</v>
      </c>
      <c r="F56" s="32">
        <v>150</v>
      </c>
      <c r="G56" s="32">
        <v>333</v>
      </c>
      <c r="H56" s="32">
        <v>923</v>
      </c>
      <c r="I56" s="32">
        <v>534</v>
      </c>
      <c r="J56" s="4"/>
      <c r="K56" s="4"/>
      <c r="L56" s="4"/>
      <c r="M56" s="4"/>
      <c r="N56" s="4" t="s">
        <v>326</v>
      </c>
      <c r="O56" s="4" t="s">
        <v>328</v>
      </c>
      <c r="P56" s="4" t="s">
        <v>188</v>
      </c>
      <c r="Q56" s="4" t="s">
        <v>156</v>
      </c>
      <c r="R56" s="4"/>
      <c r="S56" s="4" t="s">
        <v>26</v>
      </c>
      <c r="T56" s="4" t="s">
        <v>329</v>
      </c>
      <c r="U56" s="4"/>
      <c r="V56" s="4"/>
      <c r="W56" s="4"/>
      <c r="X56" s="4"/>
      <c r="Y56" s="4"/>
      <c r="Z56" s="4" t="s">
        <v>28</v>
      </c>
      <c r="AA56" s="20" t="s">
        <v>330</v>
      </c>
    </row>
    <row r="57" spans="1:27" x14ac:dyDescent="0.25">
      <c r="A57" s="18" t="s">
        <v>297</v>
      </c>
      <c r="B57" s="3" t="s">
        <v>34</v>
      </c>
      <c r="C57" s="3" t="s">
        <v>332</v>
      </c>
      <c r="D57" s="32">
        <v>0</v>
      </c>
      <c r="E57" s="32">
        <v>52</v>
      </c>
      <c r="F57" s="32">
        <v>168</v>
      </c>
      <c r="G57" s="32">
        <v>364</v>
      </c>
      <c r="H57" s="32">
        <v>1001</v>
      </c>
      <c r="I57" s="32">
        <v>585</v>
      </c>
      <c r="J57" s="4"/>
      <c r="K57" s="4"/>
      <c r="L57" s="4"/>
      <c r="M57" s="4"/>
      <c r="N57" s="4" t="s">
        <v>326</v>
      </c>
      <c r="O57" s="4" t="s">
        <v>328</v>
      </c>
      <c r="P57" s="4" t="s">
        <v>333</v>
      </c>
      <c r="Q57" s="4" t="s">
        <v>156</v>
      </c>
      <c r="R57" s="4"/>
      <c r="S57" s="4" t="s">
        <v>26</v>
      </c>
      <c r="T57" s="4" t="s">
        <v>334</v>
      </c>
      <c r="U57" s="4"/>
      <c r="V57" s="4"/>
      <c r="W57" s="4"/>
      <c r="X57" s="4"/>
      <c r="Y57" s="4"/>
      <c r="Z57" s="4" t="s">
        <v>28</v>
      </c>
      <c r="AA57" s="20" t="s">
        <v>330</v>
      </c>
    </row>
    <row r="58" spans="1:27" x14ac:dyDescent="0.25">
      <c r="A58" s="18" t="s">
        <v>301</v>
      </c>
      <c r="B58" s="3" t="s">
        <v>34</v>
      </c>
      <c r="C58" s="3" t="s">
        <v>344</v>
      </c>
      <c r="D58" s="32">
        <v>17973</v>
      </c>
      <c r="E58" s="32">
        <v>17202</v>
      </c>
      <c r="F58" s="32">
        <v>18187</v>
      </c>
      <c r="G58" s="32">
        <v>19670</v>
      </c>
      <c r="H58" s="32">
        <v>21175</v>
      </c>
      <c r="I58" s="32">
        <v>21532</v>
      </c>
      <c r="J58" s="4"/>
      <c r="K58" s="4"/>
      <c r="L58" s="4"/>
      <c r="M58" s="4"/>
      <c r="N58" s="4" t="s">
        <v>343</v>
      </c>
      <c r="O58" s="4" t="s">
        <v>22</v>
      </c>
      <c r="P58" s="4" t="s">
        <v>345</v>
      </c>
      <c r="Q58" s="4" t="s">
        <v>29</v>
      </c>
      <c r="R58" s="4"/>
      <c r="S58" s="4" t="s">
        <v>26</v>
      </c>
      <c r="T58" s="4" t="s">
        <v>346</v>
      </c>
      <c r="U58" s="4"/>
      <c r="V58" s="4"/>
      <c r="W58" s="4"/>
      <c r="X58" s="4"/>
      <c r="Y58" s="4"/>
      <c r="Z58" s="4" t="s">
        <v>28</v>
      </c>
      <c r="AA58" s="20" t="s">
        <v>347</v>
      </c>
    </row>
    <row r="59" spans="1:27" x14ac:dyDescent="0.25">
      <c r="A59" s="18" t="s">
        <v>305</v>
      </c>
      <c r="B59" s="3" t="s">
        <v>34</v>
      </c>
      <c r="C59" s="3" t="s">
        <v>349</v>
      </c>
      <c r="D59" s="32">
        <v>10306</v>
      </c>
      <c r="E59" s="32">
        <v>10539</v>
      </c>
      <c r="F59" s="32">
        <v>11542</v>
      </c>
      <c r="G59" s="32">
        <v>12811</v>
      </c>
      <c r="H59" s="32">
        <v>13296</v>
      </c>
      <c r="I59" s="32">
        <v>13742</v>
      </c>
      <c r="J59" s="4"/>
      <c r="K59" s="4"/>
      <c r="L59" s="4"/>
      <c r="M59" s="4"/>
      <c r="N59" s="4" t="s">
        <v>343</v>
      </c>
      <c r="O59" s="4" t="s">
        <v>22</v>
      </c>
      <c r="P59" s="4" t="s">
        <v>350</v>
      </c>
      <c r="Q59" s="4" t="s">
        <v>29</v>
      </c>
      <c r="R59" s="4"/>
      <c r="S59" s="4" t="s">
        <v>26</v>
      </c>
      <c r="T59" s="4" t="s">
        <v>351</v>
      </c>
      <c r="U59" s="4"/>
      <c r="V59" s="4"/>
      <c r="W59" s="4"/>
      <c r="X59" s="4"/>
      <c r="Y59" s="4"/>
      <c r="Z59" s="4" t="s">
        <v>28</v>
      </c>
      <c r="AA59" s="20" t="s">
        <v>347</v>
      </c>
    </row>
    <row r="60" spans="1:27" x14ac:dyDescent="0.25">
      <c r="A60" s="18" t="s">
        <v>309</v>
      </c>
      <c r="B60" s="3" t="s">
        <v>34</v>
      </c>
      <c r="C60" s="3" t="s">
        <v>353</v>
      </c>
      <c r="D60" s="32">
        <v>16</v>
      </c>
      <c r="E60" s="32">
        <v>77</v>
      </c>
      <c r="F60" s="32">
        <v>165</v>
      </c>
      <c r="G60" s="32">
        <v>222</v>
      </c>
      <c r="H60" s="32">
        <v>222</v>
      </c>
      <c r="I60" s="32">
        <v>243</v>
      </c>
      <c r="J60" s="4"/>
      <c r="K60" s="4"/>
      <c r="L60" s="4"/>
      <c r="M60" s="4"/>
      <c r="N60" s="4" t="s">
        <v>343</v>
      </c>
      <c r="O60" s="4" t="s">
        <v>22</v>
      </c>
      <c r="P60" s="4" t="s">
        <v>354</v>
      </c>
      <c r="Q60" s="4" t="s">
        <v>29</v>
      </c>
      <c r="R60" s="4"/>
      <c r="S60" s="4" t="s">
        <v>26</v>
      </c>
      <c r="T60" s="4" t="s">
        <v>355</v>
      </c>
      <c r="U60" s="4"/>
      <c r="V60" s="4"/>
      <c r="W60" s="4"/>
      <c r="X60" s="4"/>
      <c r="Y60" s="4"/>
      <c r="Z60" s="4" t="s">
        <v>28</v>
      </c>
      <c r="AA60" s="20" t="s">
        <v>347</v>
      </c>
    </row>
    <row r="61" spans="1:27" x14ac:dyDescent="0.25">
      <c r="A61" s="18" t="s">
        <v>313</v>
      </c>
      <c r="B61" s="3" t="s">
        <v>34</v>
      </c>
      <c r="C61" s="3" t="s">
        <v>357</v>
      </c>
      <c r="D61" s="32">
        <v>501</v>
      </c>
      <c r="E61" s="32">
        <v>498</v>
      </c>
      <c r="F61" s="32">
        <v>611</v>
      </c>
      <c r="G61" s="32">
        <v>828</v>
      </c>
      <c r="H61" s="32">
        <v>1384</v>
      </c>
      <c r="I61" s="32">
        <v>1075</v>
      </c>
      <c r="J61" s="4"/>
      <c r="K61" s="4"/>
      <c r="L61" s="4"/>
      <c r="M61" s="4"/>
      <c r="N61" s="4" t="s">
        <v>343</v>
      </c>
      <c r="O61" s="4" t="s">
        <v>22</v>
      </c>
      <c r="P61" s="4" t="s">
        <v>358</v>
      </c>
      <c r="Q61" s="4" t="s">
        <v>29</v>
      </c>
      <c r="R61" s="4"/>
      <c r="S61" s="4" t="s">
        <v>26</v>
      </c>
      <c r="T61" s="4" t="s">
        <v>359</v>
      </c>
      <c r="U61" s="4"/>
      <c r="V61" s="4"/>
      <c r="W61" s="4"/>
      <c r="X61" s="4"/>
      <c r="Y61" s="4"/>
      <c r="Z61" s="4" t="s">
        <v>28</v>
      </c>
      <c r="AA61" s="20" t="s">
        <v>347</v>
      </c>
    </row>
    <row r="62" spans="1:27" x14ac:dyDescent="0.25">
      <c r="A62" s="18" t="s">
        <v>317</v>
      </c>
      <c r="B62" s="3" t="s">
        <v>34</v>
      </c>
      <c r="C62" s="3" t="s">
        <v>362</v>
      </c>
      <c r="D62" s="32">
        <v>9142</v>
      </c>
      <c r="E62" s="32">
        <v>9296</v>
      </c>
      <c r="F62" s="32">
        <v>11487</v>
      </c>
      <c r="G62" s="32">
        <v>13321</v>
      </c>
      <c r="H62" s="32">
        <v>14701</v>
      </c>
      <c r="I62" s="32">
        <v>16287</v>
      </c>
      <c r="J62" s="4"/>
      <c r="K62" s="4"/>
      <c r="L62" s="4"/>
      <c r="M62" s="4"/>
      <c r="N62" s="4" t="s">
        <v>361</v>
      </c>
      <c r="O62" s="4" t="s">
        <v>22</v>
      </c>
      <c r="P62" s="4" t="s">
        <v>363</v>
      </c>
      <c r="Q62" s="4" t="s">
        <v>29</v>
      </c>
      <c r="R62" s="4"/>
      <c r="S62" s="4" t="s">
        <v>26</v>
      </c>
      <c r="T62" s="4" t="s">
        <v>364</v>
      </c>
      <c r="U62" s="4"/>
      <c r="V62" s="4"/>
      <c r="W62" s="4"/>
      <c r="X62" s="4"/>
      <c r="Y62" s="4"/>
      <c r="Z62" s="4" t="s">
        <v>28</v>
      </c>
      <c r="AA62" s="20" t="s">
        <v>365</v>
      </c>
    </row>
    <row r="63" spans="1:27" x14ac:dyDescent="0.25">
      <c r="A63" s="18" t="s">
        <v>321</v>
      </c>
      <c r="B63" s="3" t="s">
        <v>34</v>
      </c>
      <c r="C63" s="3" t="s">
        <v>367</v>
      </c>
      <c r="D63" s="32">
        <v>9158</v>
      </c>
      <c r="E63" s="32">
        <v>8466</v>
      </c>
      <c r="F63" s="32">
        <v>8509</v>
      </c>
      <c r="G63" s="32">
        <v>8646</v>
      </c>
      <c r="H63" s="32">
        <v>9592</v>
      </c>
      <c r="I63" s="32">
        <v>8972</v>
      </c>
      <c r="J63" s="4"/>
      <c r="K63" s="4"/>
      <c r="L63" s="4"/>
      <c r="M63" s="4"/>
      <c r="N63" s="4" t="s">
        <v>361</v>
      </c>
      <c r="O63" s="4" t="s">
        <v>22</v>
      </c>
      <c r="P63" s="4" t="s">
        <v>368</v>
      </c>
      <c r="Q63" s="4" t="s">
        <v>29</v>
      </c>
      <c r="R63" s="4"/>
      <c r="S63" s="4" t="s">
        <v>26</v>
      </c>
      <c r="T63" s="4" t="s">
        <v>369</v>
      </c>
      <c r="U63" s="4"/>
      <c r="V63" s="4"/>
      <c r="W63" s="4"/>
      <c r="X63" s="4"/>
      <c r="Y63" s="4"/>
      <c r="Z63" s="4" t="s">
        <v>28</v>
      </c>
      <c r="AA63" s="20" t="s">
        <v>365</v>
      </c>
    </row>
    <row r="64" spans="1:27" x14ac:dyDescent="0.25">
      <c r="A64" s="18" t="s">
        <v>325</v>
      </c>
      <c r="B64" s="3" t="s">
        <v>34</v>
      </c>
      <c r="C64" s="3" t="s">
        <v>371</v>
      </c>
      <c r="D64" s="32">
        <v>4219</v>
      </c>
      <c r="E64" s="32">
        <v>3814</v>
      </c>
      <c r="F64" s="32">
        <v>3785</v>
      </c>
      <c r="G64" s="32">
        <v>3946</v>
      </c>
      <c r="H64" s="32">
        <v>4384</v>
      </c>
      <c r="I64" s="32">
        <v>4088</v>
      </c>
      <c r="J64" s="4"/>
      <c r="K64" s="4"/>
      <c r="L64" s="4"/>
      <c r="M64" s="4"/>
      <c r="N64" s="4" t="s">
        <v>361</v>
      </c>
      <c r="O64" s="4" t="s">
        <v>22</v>
      </c>
      <c r="P64" s="4" t="s">
        <v>372</v>
      </c>
      <c r="Q64" s="4" t="s">
        <v>29</v>
      </c>
      <c r="R64" s="4"/>
      <c r="S64" s="4" t="s">
        <v>26</v>
      </c>
      <c r="T64" s="4" t="s">
        <v>373</v>
      </c>
      <c r="U64" s="4"/>
      <c r="V64" s="4"/>
      <c r="W64" s="4"/>
      <c r="X64" s="4"/>
      <c r="Y64" s="4"/>
      <c r="Z64" s="4" t="s">
        <v>28</v>
      </c>
      <c r="AA64" s="20" t="s">
        <v>365</v>
      </c>
    </row>
    <row r="65" spans="1:27" x14ac:dyDescent="0.25">
      <c r="A65" s="18" t="s">
        <v>331</v>
      </c>
      <c r="B65" s="3" t="s">
        <v>34</v>
      </c>
      <c r="C65" s="3" t="s">
        <v>375</v>
      </c>
      <c r="D65" s="32">
        <v>2449</v>
      </c>
      <c r="E65" s="32">
        <v>2442</v>
      </c>
      <c r="F65" s="32">
        <v>2366</v>
      </c>
      <c r="G65" s="32">
        <v>2450</v>
      </c>
      <c r="H65" s="32">
        <v>2589</v>
      </c>
      <c r="I65" s="32">
        <v>2550</v>
      </c>
      <c r="J65" s="4"/>
      <c r="K65" s="4"/>
      <c r="L65" s="4"/>
      <c r="M65" s="4"/>
      <c r="N65" s="4" t="s">
        <v>361</v>
      </c>
      <c r="O65" s="4" t="s">
        <v>22</v>
      </c>
      <c r="P65" s="4" t="s">
        <v>376</v>
      </c>
      <c r="Q65" s="4" t="s">
        <v>29</v>
      </c>
      <c r="R65" s="4"/>
      <c r="S65" s="4" t="s">
        <v>26</v>
      </c>
      <c r="T65" s="4" t="s">
        <v>377</v>
      </c>
      <c r="U65" s="4"/>
      <c r="V65" s="4"/>
      <c r="W65" s="4"/>
      <c r="X65" s="4"/>
      <c r="Y65" s="4"/>
      <c r="Z65" s="4" t="s">
        <v>28</v>
      </c>
      <c r="AA65" s="20" t="s">
        <v>365</v>
      </c>
    </row>
    <row r="66" spans="1:27" x14ac:dyDescent="0.25">
      <c r="A66" s="18" t="s">
        <v>335</v>
      </c>
      <c r="B66" s="3" t="s">
        <v>34</v>
      </c>
      <c r="C66" s="3" t="s">
        <v>379</v>
      </c>
      <c r="D66" s="32">
        <v>1457</v>
      </c>
      <c r="E66" s="32">
        <v>1540</v>
      </c>
      <c r="F66" s="32">
        <v>1493</v>
      </c>
      <c r="G66" s="32">
        <v>1733</v>
      </c>
      <c r="H66" s="32">
        <v>1708</v>
      </c>
      <c r="I66" s="32">
        <v>1679</v>
      </c>
      <c r="J66" s="4"/>
      <c r="K66" s="4"/>
      <c r="L66" s="4"/>
      <c r="M66" s="4"/>
      <c r="N66" s="4" t="s">
        <v>361</v>
      </c>
      <c r="O66" s="4" t="s">
        <v>22</v>
      </c>
      <c r="P66" s="4" t="s">
        <v>380</v>
      </c>
      <c r="Q66" s="4" t="s">
        <v>29</v>
      </c>
      <c r="R66" s="4"/>
      <c r="S66" s="4" t="s">
        <v>26</v>
      </c>
      <c r="T66" s="4" t="s">
        <v>381</v>
      </c>
      <c r="U66" s="4"/>
      <c r="V66" s="4"/>
      <c r="W66" s="4"/>
      <c r="X66" s="4"/>
      <c r="Y66" s="4"/>
      <c r="Z66" s="4" t="s">
        <v>28</v>
      </c>
      <c r="AA66" s="20" t="s">
        <v>365</v>
      </c>
    </row>
    <row r="67" spans="1:27" x14ac:dyDescent="0.25">
      <c r="A67" s="18" t="s">
        <v>336</v>
      </c>
      <c r="B67" s="3" t="s">
        <v>34</v>
      </c>
      <c r="C67" s="3" t="s">
        <v>383</v>
      </c>
      <c r="D67" s="32">
        <v>1578</v>
      </c>
      <c r="E67" s="32">
        <v>1759</v>
      </c>
      <c r="F67" s="32">
        <v>1770</v>
      </c>
      <c r="G67" s="32">
        <v>2077</v>
      </c>
      <c r="H67" s="32">
        <v>1964</v>
      </c>
      <c r="I67" s="32">
        <v>1862</v>
      </c>
      <c r="J67" s="4"/>
      <c r="K67" s="4"/>
      <c r="L67" s="4"/>
      <c r="M67" s="4"/>
      <c r="N67" s="4" t="s">
        <v>361</v>
      </c>
      <c r="O67" s="4" t="s">
        <v>22</v>
      </c>
      <c r="P67" s="4" t="s">
        <v>384</v>
      </c>
      <c r="Q67" s="4" t="s">
        <v>29</v>
      </c>
      <c r="R67" s="4"/>
      <c r="S67" s="4" t="s">
        <v>26</v>
      </c>
      <c r="T67" s="4" t="s">
        <v>385</v>
      </c>
      <c r="U67" s="4"/>
      <c r="V67" s="4"/>
      <c r="W67" s="4"/>
      <c r="X67" s="4"/>
      <c r="Y67" s="4"/>
      <c r="Z67" s="4" t="s">
        <v>28</v>
      </c>
      <c r="AA67" s="20" t="s">
        <v>365</v>
      </c>
    </row>
    <row r="68" spans="1:27" x14ac:dyDescent="0.25">
      <c r="A68" s="18" t="s">
        <v>337</v>
      </c>
      <c r="B68" s="3" t="s">
        <v>34</v>
      </c>
      <c r="C68" s="3" t="s">
        <v>387</v>
      </c>
      <c r="D68" s="32">
        <v>792</v>
      </c>
      <c r="E68" s="32">
        <v>998</v>
      </c>
      <c r="F68" s="32">
        <v>1094</v>
      </c>
      <c r="G68" s="32">
        <v>1356</v>
      </c>
      <c r="H68" s="32">
        <v>1139</v>
      </c>
      <c r="I68" s="32">
        <v>1153</v>
      </c>
      <c r="J68" s="4"/>
      <c r="K68" s="4"/>
      <c r="L68" s="4"/>
      <c r="M68" s="4"/>
      <c r="N68" s="4" t="s">
        <v>361</v>
      </c>
      <c r="O68" s="4" t="s">
        <v>22</v>
      </c>
      <c r="P68" s="4" t="s">
        <v>388</v>
      </c>
      <c r="Q68" s="4" t="s">
        <v>29</v>
      </c>
      <c r="R68" s="4"/>
      <c r="S68" s="4" t="s">
        <v>26</v>
      </c>
      <c r="T68" s="4" t="s">
        <v>389</v>
      </c>
      <c r="U68" s="4"/>
      <c r="V68" s="4"/>
      <c r="W68" s="4"/>
      <c r="X68" s="4"/>
      <c r="Y68" s="4"/>
      <c r="Z68" s="4" t="s">
        <v>28</v>
      </c>
      <c r="AA68" s="20" t="s">
        <v>365</v>
      </c>
    </row>
    <row r="69" spans="1:27" x14ac:dyDescent="0.25">
      <c r="A69" s="18" t="s">
        <v>338</v>
      </c>
      <c r="B69" s="3" t="s">
        <v>34</v>
      </c>
      <c r="C69" s="3" t="s">
        <v>391</v>
      </c>
      <c r="D69" s="32">
        <v>1</v>
      </c>
      <c r="E69" s="32">
        <v>1</v>
      </c>
      <c r="F69" s="32">
        <v>1</v>
      </c>
      <c r="G69" s="32">
        <v>2</v>
      </c>
      <c r="H69" s="32">
        <v>0</v>
      </c>
      <c r="I69" s="32">
        <v>1</v>
      </c>
      <c r="J69" s="4"/>
      <c r="K69" s="4"/>
      <c r="L69" s="4"/>
      <c r="M69" s="4"/>
      <c r="N69" s="4" t="s">
        <v>361</v>
      </c>
      <c r="O69" s="4" t="s">
        <v>22</v>
      </c>
      <c r="P69" s="4" t="s">
        <v>392</v>
      </c>
      <c r="Q69" s="4" t="s">
        <v>29</v>
      </c>
      <c r="R69" s="4"/>
      <c r="S69" s="4" t="s">
        <v>26</v>
      </c>
      <c r="T69" s="4" t="s">
        <v>393</v>
      </c>
      <c r="U69" s="4"/>
      <c r="V69" s="4"/>
      <c r="W69" s="4"/>
      <c r="X69" s="4"/>
      <c r="Y69" s="4"/>
      <c r="Z69" s="4" t="s">
        <v>28</v>
      </c>
      <c r="AA69" s="20" t="s">
        <v>365</v>
      </c>
    </row>
    <row r="70" spans="1:27" x14ac:dyDescent="0.25">
      <c r="A70" s="18" t="s">
        <v>339</v>
      </c>
      <c r="B70" s="3" t="s">
        <v>34</v>
      </c>
      <c r="C70" s="3" t="s">
        <v>396</v>
      </c>
      <c r="D70" s="32">
        <v>2204</v>
      </c>
      <c r="E70" s="32">
        <v>2190</v>
      </c>
      <c r="F70" s="32">
        <v>2296</v>
      </c>
      <c r="G70" s="32">
        <v>2249</v>
      </c>
      <c r="H70" s="32">
        <v>2355</v>
      </c>
      <c r="I70" s="32">
        <v>2407</v>
      </c>
      <c r="J70" s="4"/>
      <c r="K70" s="4"/>
      <c r="L70" s="4"/>
      <c r="M70" s="4"/>
      <c r="N70" s="4" t="s">
        <v>395</v>
      </c>
      <c r="O70" s="4" t="s">
        <v>22</v>
      </c>
      <c r="P70" s="4" t="s">
        <v>397</v>
      </c>
      <c r="Q70" s="4" t="s">
        <v>29</v>
      </c>
      <c r="R70" s="4"/>
      <c r="S70" s="4" t="s">
        <v>26</v>
      </c>
      <c r="T70" s="4" t="s">
        <v>398</v>
      </c>
      <c r="U70" s="4"/>
      <c r="V70" s="4"/>
      <c r="W70" s="4"/>
      <c r="X70" s="4"/>
      <c r="Y70" s="4"/>
      <c r="Z70" s="4" t="s">
        <v>28</v>
      </c>
      <c r="AA70" s="20" t="s">
        <v>399</v>
      </c>
    </row>
    <row r="71" spans="1:27" x14ac:dyDescent="0.25">
      <c r="A71" s="18" t="s">
        <v>340</v>
      </c>
      <c r="B71" s="3" t="s">
        <v>34</v>
      </c>
      <c r="C71" s="3" t="s">
        <v>401</v>
      </c>
      <c r="D71" s="32">
        <v>61</v>
      </c>
      <c r="E71" s="32">
        <v>49</v>
      </c>
      <c r="F71" s="32">
        <v>60</v>
      </c>
      <c r="G71" s="32">
        <v>68</v>
      </c>
      <c r="H71" s="32">
        <v>76</v>
      </c>
      <c r="I71" s="32">
        <v>90</v>
      </c>
      <c r="J71" s="4"/>
      <c r="K71" s="4"/>
      <c r="L71" s="4"/>
      <c r="M71" s="4"/>
      <c r="N71" s="4" t="s">
        <v>395</v>
      </c>
      <c r="O71" s="4" t="s">
        <v>22</v>
      </c>
      <c r="P71" s="4" t="s">
        <v>402</v>
      </c>
      <c r="Q71" s="4" t="s">
        <v>29</v>
      </c>
      <c r="R71" s="4"/>
      <c r="S71" s="4" t="s">
        <v>26</v>
      </c>
      <c r="T71" s="4" t="s">
        <v>403</v>
      </c>
      <c r="U71" s="4"/>
      <c r="V71" s="4"/>
      <c r="W71" s="4"/>
      <c r="X71" s="4"/>
      <c r="Y71" s="4"/>
      <c r="Z71" s="4" t="s">
        <v>28</v>
      </c>
      <c r="AA71" s="20" t="s">
        <v>399</v>
      </c>
    </row>
    <row r="72" spans="1:27" x14ac:dyDescent="0.25">
      <c r="A72" s="18" t="s">
        <v>341</v>
      </c>
      <c r="B72" s="3" t="s">
        <v>34</v>
      </c>
      <c r="C72" s="3" t="s">
        <v>405</v>
      </c>
      <c r="D72" s="32">
        <v>1535</v>
      </c>
      <c r="E72" s="32">
        <v>1725</v>
      </c>
      <c r="F72" s="32">
        <v>2298</v>
      </c>
      <c r="G72" s="32">
        <v>3000</v>
      </c>
      <c r="H72" s="32">
        <v>3479</v>
      </c>
      <c r="I72" s="32">
        <v>3755</v>
      </c>
      <c r="J72" s="4"/>
      <c r="K72" s="4"/>
      <c r="L72" s="4"/>
      <c r="M72" s="4"/>
      <c r="N72" s="4" t="s">
        <v>395</v>
      </c>
      <c r="O72" s="4" t="s">
        <v>22</v>
      </c>
      <c r="P72" s="4" t="s">
        <v>406</v>
      </c>
      <c r="Q72" s="4" t="s">
        <v>29</v>
      </c>
      <c r="R72" s="4"/>
      <c r="S72" s="4" t="s">
        <v>26</v>
      </c>
      <c r="T72" s="4" t="s">
        <v>407</v>
      </c>
      <c r="U72" s="4"/>
      <c r="V72" s="4"/>
      <c r="W72" s="4"/>
      <c r="X72" s="4"/>
      <c r="Y72" s="4"/>
      <c r="Z72" s="4" t="s">
        <v>28</v>
      </c>
      <c r="AA72" s="20" t="s">
        <v>399</v>
      </c>
    </row>
    <row r="73" spans="1:27" x14ac:dyDescent="0.25">
      <c r="A73" s="18" t="s">
        <v>342</v>
      </c>
      <c r="B73" s="3" t="s">
        <v>34</v>
      </c>
      <c r="C73" s="3" t="s">
        <v>409</v>
      </c>
      <c r="D73" s="32">
        <v>666</v>
      </c>
      <c r="E73" s="32">
        <v>671</v>
      </c>
      <c r="F73" s="32">
        <v>589</v>
      </c>
      <c r="G73" s="32">
        <v>307</v>
      </c>
      <c r="H73" s="32">
        <v>161</v>
      </c>
      <c r="I73" s="32">
        <v>72</v>
      </c>
      <c r="J73" s="4"/>
      <c r="K73" s="4"/>
      <c r="L73" s="4"/>
      <c r="M73" s="4"/>
      <c r="N73" s="4" t="s">
        <v>395</v>
      </c>
      <c r="O73" s="4" t="s">
        <v>22</v>
      </c>
      <c r="P73" s="4" t="s">
        <v>410</v>
      </c>
      <c r="Q73" s="4" t="s">
        <v>29</v>
      </c>
      <c r="R73" s="4"/>
      <c r="S73" s="4" t="s">
        <v>26</v>
      </c>
      <c r="T73" s="4" t="s">
        <v>411</v>
      </c>
      <c r="U73" s="4"/>
      <c r="V73" s="4"/>
      <c r="W73" s="4"/>
      <c r="X73" s="4"/>
      <c r="Y73" s="4"/>
      <c r="Z73" s="4" t="s">
        <v>28</v>
      </c>
      <c r="AA73" s="20" t="s">
        <v>399</v>
      </c>
    </row>
    <row r="74" spans="1:27" x14ac:dyDescent="0.25">
      <c r="A74" s="18" t="s">
        <v>348</v>
      </c>
      <c r="B74" s="3" t="s">
        <v>34</v>
      </c>
      <c r="C74" s="3" t="s">
        <v>413</v>
      </c>
      <c r="D74" s="32">
        <v>18500</v>
      </c>
      <c r="E74" s="32">
        <v>17372</v>
      </c>
      <c r="F74" s="32">
        <v>18368</v>
      </c>
      <c r="G74" s="32">
        <v>20330</v>
      </c>
      <c r="H74" s="32">
        <v>22265</v>
      </c>
      <c r="I74" s="32">
        <v>22930</v>
      </c>
      <c r="J74" s="4"/>
      <c r="K74" s="4"/>
      <c r="L74" s="4"/>
      <c r="M74" s="4"/>
      <c r="N74" s="4" t="s">
        <v>395</v>
      </c>
      <c r="O74" s="4" t="s">
        <v>22</v>
      </c>
      <c r="P74" s="4" t="s">
        <v>414</v>
      </c>
      <c r="Q74" s="4" t="s">
        <v>29</v>
      </c>
      <c r="R74" s="4"/>
      <c r="S74" s="4" t="s">
        <v>26</v>
      </c>
      <c r="T74" s="4" t="s">
        <v>415</v>
      </c>
      <c r="U74" s="4"/>
      <c r="V74" s="4"/>
      <c r="W74" s="4"/>
      <c r="X74" s="4"/>
      <c r="Y74" s="4"/>
      <c r="Z74" s="4" t="s">
        <v>28</v>
      </c>
      <c r="AA74" s="20" t="s">
        <v>399</v>
      </c>
    </row>
    <row r="75" spans="1:27" x14ac:dyDescent="0.25">
      <c r="A75" s="18" t="s">
        <v>352</v>
      </c>
      <c r="B75" s="3" t="s">
        <v>34</v>
      </c>
      <c r="C75" s="3" t="s">
        <v>417</v>
      </c>
      <c r="D75" s="32">
        <v>876</v>
      </c>
      <c r="E75" s="32">
        <v>898</v>
      </c>
      <c r="F75" s="32">
        <v>951</v>
      </c>
      <c r="G75" s="32">
        <v>1032</v>
      </c>
      <c r="H75" s="32">
        <v>1129</v>
      </c>
      <c r="I75" s="32">
        <v>1110</v>
      </c>
      <c r="J75" s="4"/>
      <c r="K75" s="4"/>
      <c r="L75" s="4"/>
      <c r="M75" s="4"/>
      <c r="N75" s="4" t="s">
        <v>395</v>
      </c>
      <c r="O75" s="4" t="s">
        <v>22</v>
      </c>
      <c r="P75" s="4" t="s">
        <v>418</v>
      </c>
      <c r="Q75" s="4" t="s">
        <v>29</v>
      </c>
      <c r="R75" s="4"/>
      <c r="S75" s="4" t="s">
        <v>26</v>
      </c>
      <c r="T75" s="4" t="s">
        <v>419</v>
      </c>
      <c r="U75" s="4"/>
      <c r="V75" s="4"/>
      <c r="W75" s="4"/>
      <c r="X75" s="4"/>
      <c r="Y75" s="4"/>
      <c r="Z75" s="4" t="s">
        <v>28</v>
      </c>
      <c r="AA75" s="20" t="s">
        <v>399</v>
      </c>
    </row>
    <row r="76" spans="1:27" x14ac:dyDescent="0.25">
      <c r="A76" s="18" t="s">
        <v>356</v>
      </c>
      <c r="B76" s="3" t="s">
        <v>34</v>
      </c>
      <c r="C76" s="3" t="s">
        <v>421</v>
      </c>
      <c r="D76" s="32">
        <v>74</v>
      </c>
      <c r="E76" s="32">
        <v>68</v>
      </c>
      <c r="F76" s="32">
        <v>67</v>
      </c>
      <c r="G76" s="32">
        <v>77</v>
      </c>
      <c r="H76" s="32">
        <v>78</v>
      </c>
      <c r="I76" s="32">
        <v>81</v>
      </c>
      <c r="J76" s="4"/>
      <c r="K76" s="4"/>
      <c r="L76" s="4"/>
      <c r="M76" s="4"/>
      <c r="N76" s="4" t="s">
        <v>395</v>
      </c>
      <c r="O76" s="4" t="s">
        <v>22</v>
      </c>
      <c r="P76" s="4" t="s">
        <v>422</v>
      </c>
      <c r="Q76" s="4" t="s">
        <v>29</v>
      </c>
      <c r="R76" s="4"/>
      <c r="S76" s="4" t="s">
        <v>26</v>
      </c>
      <c r="T76" s="4" t="s">
        <v>423</v>
      </c>
      <c r="U76" s="4"/>
      <c r="V76" s="4"/>
      <c r="W76" s="4"/>
      <c r="X76" s="4"/>
      <c r="Y76" s="4"/>
      <c r="Z76" s="4" t="s">
        <v>28</v>
      </c>
      <c r="AA76" s="20" t="s">
        <v>399</v>
      </c>
    </row>
    <row r="77" spans="1:27" x14ac:dyDescent="0.25">
      <c r="A77" s="18" t="s">
        <v>360</v>
      </c>
      <c r="B77" s="3" t="s">
        <v>34</v>
      </c>
      <c r="C77" s="3" t="s">
        <v>425</v>
      </c>
      <c r="D77" s="32">
        <v>722</v>
      </c>
      <c r="E77" s="32">
        <v>700</v>
      </c>
      <c r="F77" s="32">
        <v>866</v>
      </c>
      <c r="G77" s="32">
        <v>1249</v>
      </c>
      <c r="H77" s="32">
        <v>1940</v>
      </c>
      <c r="I77" s="32">
        <v>1643</v>
      </c>
      <c r="J77" s="4"/>
      <c r="K77" s="4"/>
      <c r="L77" s="4"/>
      <c r="M77" s="4"/>
      <c r="N77" s="4" t="s">
        <v>395</v>
      </c>
      <c r="O77" s="4" t="s">
        <v>22</v>
      </c>
      <c r="P77" s="4" t="s">
        <v>426</v>
      </c>
      <c r="Q77" s="4" t="s">
        <v>29</v>
      </c>
      <c r="R77" s="4"/>
      <c r="S77" s="4" t="s">
        <v>26</v>
      </c>
      <c r="T77" s="4" t="s">
        <v>427</v>
      </c>
      <c r="U77" s="4"/>
      <c r="V77" s="4"/>
      <c r="W77" s="4"/>
      <c r="X77" s="4"/>
      <c r="Y77" s="4"/>
      <c r="Z77" s="4" t="s">
        <v>28</v>
      </c>
      <c r="AA77" s="20" t="s">
        <v>399</v>
      </c>
    </row>
    <row r="78" spans="1:27" x14ac:dyDescent="0.25">
      <c r="A78" s="18" t="s">
        <v>366</v>
      </c>
      <c r="B78" s="3" t="s">
        <v>34</v>
      </c>
      <c r="C78" s="3" t="s">
        <v>429</v>
      </c>
      <c r="D78" s="32">
        <v>4158</v>
      </c>
      <c r="E78" s="32">
        <v>4643</v>
      </c>
      <c r="F78" s="32">
        <v>5010</v>
      </c>
      <c r="G78" s="32">
        <v>5219</v>
      </c>
      <c r="H78" s="32">
        <v>4594</v>
      </c>
      <c r="I78" s="32">
        <v>4504</v>
      </c>
      <c r="J78" s="4"/>
      <c r="K78" s="4"/>
      <c r="L78" s="4"/>
      <c r="M78" s="4"/>
      <c r="N78" s="4" t="s">
        <v>395</v>
      </c>
      <c r="O78" s="4" t="s">
        <v>22</v>
      </c>
      <c r="P78" s="4" t="s">
        <v>430</v>
      </c>
      <c r="Q78" s="4" t="s">
        <v>29</v>
      </c>
      <c r="R78" s="4"/>
      <c r="S78" s="4" t="s">
        <v>26</v>
      </c>
      <c r="T78" s="4" t="s">
        <v>431</v>
      </c>
      <c r="U78" s="4"/>
      <c r="V78" s="4"/>
      <c r="W78" s="4"/>
      <c r="X78" s="4"/>
      <c r="Y78" s="4"/>
      <c r="Z78" s="4" t="s">
        <v>28</v>
      </c>
      <c r="AA78" s="20" t="s">
        <v>399</v>
      </c>
    </row>
    <row r="79" spans="1:27" x14ac:dyDescent="0.25">
      <c r="A79" s="18" t="s">
        <v>370</v>
      </c>
      <c r="B79" s="3" t="s">
        <v>34</v>
      </c>
      <c r="C79" s="3" t="s">
        <v>434</v>
      </c>
      <c r="D79" s="32">
        <v>954</v>
      </c>
      <c r="E79" s="32">
        <v>836</v>
      </c>
      <c r="F79" s="32">
        <v>1022</v>
      </c>
      <c r="G79" s="32">
        <v>1148</v>
      </c>
      <c r="H79" s="32">
        <v>1330</v>
      </c>
      <c r="I79" s="32">
        <v>1524</v>
      </c>
      <c r="J79" s="4"/>
      <c r="K79" s="4"/>
      <c r="L79" s="4"/>
      <c r="M79" s="4"/>
      <c r="N79" s="4" t="s">
        <v>433</v>
      </c>
      <c r="O79" s="4" t="s">
        <v>433</v>
      </c>
      <c r="P79" s="4" t="s">
        <v>435</v>
      </c>
      <c r="Q79" s="4" t="s">
        <v>29</v>
      </c>
      <c r="R79" s="4"/>
      <c r="S79" s="4" t="s">
        <v>26</v>
      </c>
      <c r="T79" s="4" t="s">
        <v>436</v>
      </c>
      <c r="U79" s="4"/>
      <c r="V79" s="4"/>
      <c r="W79" s="4"/>
      <c r="X79" s="4"/>
      <c r="Y79" s="4"/>
      <c r="Z79" s="4" t="s">
        <v>28</v>
      </c>
      <c r="AA79" s="20" t="s">
        <v>437</v>
      </c>
    </row>
    <row r="80" spans="1:27" x14ac:dyDescent="0.25">
      <c r="A80" s="18" t="s">
        <v>374</v>
      </c>
      <c r="B80" s="3" t="s">
        <v>34</v>
      </c>
      <c r="C80" s="3" t="s">
        <v>439</v>
      </c>
      <c r="D80" s="32">
        <v>912</v>
      </c>
      <c r="E80" s="32">
        <v>919</v>
      </c>
      <c r="F80" s="32">
        <v>965</v>
      </c>
      <c r="G80" s="32">
        <v>1016</v>
      </c>
      <c r="H80" s="32">
        <v>1176</v>
      </c>
      <c r="I80" s="32">
        <v>1231</v>
      </c>
      <c r="J80" s="4"/>
      <c r="K80" s="4"/>
      <c r="L80" s="4"/>
      <c r="M80" s="4"/>
      <c r="N80" s="4" t="s">
        <v>433</v>
      </c>
      <c r="O80" s="4" t="s">
        <v>433</v>
      </c>
      <c r="P80" s="4" t="s">
        <v>440</v>
      </c>
      <c r="Q80" s="4" t="s">
        <v>29</v>
      </c>
      <c r="R80" s="4"/>
      <c r="S80" s="4" t="s">
        <v>26</v>
      </c>
      <c r="T80" s="4" t="s">
        <v>441</v>
      </c>
      <c r="U80" s="4"/>
      <c r="V80" s="4"/>
      <c r="W80" s="4"/>
      <c r="X80" s="4"/>
      <c r="Y80" s="4"/>
      <c r="Z80" s="4" t="s">
        <v>28</v>
      </c>
      <c r="AA80" s="20" t="s">
        <v>442</v>
      </c>
    </row>
    <row r="81" spans="1:27" x14ac:dyDescent="0.25">
      <c r="A81" s="18" t="s">
        <v>378</v>
      </c>
      <c r="B81" s="3" t="s">
        <v>34</v>
      </c>
      <c r="C81" s="3" t="s">
        <v>444</v>
      </c>
      <c r="D81" s="32">
        <v>6364</v>
      </c>
      <c r="E81" s="32">
        <v>5806</v>
      </c>
      <c r="F81" s="32">
        <v>7444</v>
      </c>
      <c r="G81" s="32">
        <v>10577</v>
      </c>
      <c r="H81" s="32">
        <v>12207</v>
      </c>
      <c r="I81" s="32">
        <v>12700</v>
      </c>
      <c r="J81" s="4"/>
      <c r="K81" s="4"/>
      <c r="L81" s="4"/>
      <c r="M81" s="4"/>
      <c r="N81" s="4" t="s">
        <v>433</v>
      </c>
      <c r="O81" s="4" t="s">
        <v>433</v>
      </c>
      <c r="P81" s="4" t="s">
        <v>445</v>
      </c>
      <c r="Q81" s="4" t="s">
        <v>29</v>
      </c>
      <c r="R81" s="4"/>
      <c r="S81" s="4" t="s">
        <v>26</v>
      </c>
      <c r="T81" s="4" t="s">
        <v>446</v>
      </c>
      <c r="U81" s="4"/>
      <c r="V81" s="4"/>
      <c r="W81" s="4"/>
      <c r="X81" s="4"/>
      <c r="Y81" s="4"/>
      <c r="Z81" s="4" t="s">
        <v>28</v>
      </c>
      <c r="AA81" s="20" t="s">
        <v>447</v>
      </c>
    </row>
    <row r="82" spans="1:27" x14ac:dyDescent="0.25">
      <c r="A82" s="18" t="s">
        <v>382</v>
      </c>
      <c r="B82" s="3" t="s">
        <v>34</v>
      </c>
      <c r="C82" s="3" t="s">
        <v>449</v>
      </c>
      <c r="D82" s="32">
        <v>0</v>
      </c>
      <c r="E82" s="32">
        <v>71</v>
      </c>
      <c r="F82" s="32">
        <v>69</v>
      </c>
      <c r="G82" s="32">
        <v>59</v>
      </c>
      <c r="H82" s="32">
        <v>105</v>
      </c>
      <c r="I82" s="32">
        <v>95</v>
      </c>
      <c r="J82" s="4"/>
      <c r="K82" s="4"/>
      <c r="L82" s="4"/>
      <c r="M82" s="4"/>
      <c r="N82" s="4" t="s">
        <v>433</v>
      </c>
      <c r="O82" s="4" t="s">
        <v>433</v>
      </c>
      <c r="P82" s="4" t="s">
        <v>450</v>
      </c>
      <c r="Q82" s="4" t="s">
        <v>29</v>
      </c>
      <c r="R82" s="4"/>
      <c r="S82" s="4" t="s">
        <v>26</v>
      </c>
      <c r="T82" s="4" t="s">
        <v>451</v>
      </c>
      <c r="U82" s="4"/>
      <c r="V82" s="4"/>
      <c r="W82" s="4"/>
      <c r="X82" s="4"/>
      <c r="Y82" s="4"/>
      <c r="Z82" s="4" t="s">
        <v>28</v>
      </c>
      <c r="AA82" s="20" t="s">
        <v>452</v>
      </c>
    </row>
    <row r="83" spans="1:27" x14ac:dyDescent="0.25">
      <c r="A83" s="18" t="s">
        <v>386</v>
      </c>
      <c r="B83" s="3" t="s">
        <v>34</v>
      </c>
      <c r="C83" s="3" t="s">
        <v>454</v>
      </c>
      <c r="D83" s="32">
        <v>410</v>
      </c>
      <c r="E83" s="32">
        <v>476</v>
      </c>
      <c r="F83" s="32">
        <v>541</v>
      </c>
      <c r="G83" s="32">
        <v>569</v>
      </c>
      <c r="H83" s="32">
        <v>732</v>
      </c>
      <c r="I83" s="32">
        <v>699</v>
      </c>
      <c r="J83" s="4"/>
      <c r="K83" s="4"/>
      <c r="L83" s="4"/>
      <c r="M83" s="4"/>
      <c r="N83" s="4" t="s">
        <v>433</v>
      </c>
      <c r="O83" s="4" t="s">
        <v>433</v>
      </c>
      <c r="P83" s="4" t="s">
        <v>455</v>
      </c>
      <c r="Q83" s="4" t="s">
        <v>29</v>
      </c>
      <c r="R83" s="4"/>
      <c r="S83" s="4" t="s">
        <v>26</v>
      </c>
      <c r="T83" s="4" t="s">
        <v>456</v>
      </c>
      <c r="U83" s="4"/>
      <c r="V83" s="4"/>
      <c r="W83" s="4"/>
      <c r="X83" s="4"/>
      <c r="Y83" s="4"/>
      <c r="Z83" s="4" t="s">
        <v>28</v>
      </c>
      <c r="AA83" s="20" t="s">
        <v>457</v>
      </c>
    </row>
    <row r="84" spans="1:27" x14ac:dyDescent="0.25">
      <c r="A84" s="18" t="s">
        <v>390</v>
      </c>
      <c r="B84" s="3" t="s">
        <v>34</v>
      </c>
      <c r="C84" s="3" t="s">
        <v>459</v>
      </c>
      <c r="D84" s="32">
        <v>31</v>
      </c>
      <c r="E84" s="32">
        <v>25</v>
      </c>
      <c r="F84" s="32">
        <v>57</v>
      </c>
      <c r="G84" s="32">
        <v>49</v>
      </c>
      <c r="H84" s="32">
        <v>65</v>
      </c>
      <c r="I84" s="32">
        <v>97</v>
      </c>
      <c r="J84" s="4"/>
      <c r="K84" s="4"/>
      <c r="L84" s="4"/>
      <c r="M84" s="4"/>
      <c r="N84" s="4" t="s">
        <v>433</v>
      </c>
      <c r="O84" s="4" t="s">
        <v>433</v>
      </c>
      <c r="P84" s="4" t="s">
        <v>460</v>
      </c>
      <c r="Q84" s="4" t="s">
        <v>29</v>
      </c>
      <c r="R84" s="4"/>
      <c r="S84" s="4" t="s">
        <v>26</v>
      </c>
      <c r="T84" s="4" t="s">
        <v>461</v>
      </c>
      <c r="U84" s="4"/>
      <c r="V84" s="4"/>
      <c r="W84" s="4"/>
      <c r="X84" s="4"/>
      <c r="Y84" s="4"/>
      <c r="Z84" s="4" t="s">
        <v>28</v>
      </c>
      <c r="AA84" s="20" t="s">
        <v>462</v>
      </c>
    </row>
    <row r="85" spans="1:27" x14ac:dyDescent="0.25">
      <c r="A85" s="18" t="s">
        <v>394</v>
      </c>
      <c r="B85" s="3" t="s">
        <v>34</v>
      </c>
      <c r="C85" s="3" t="s">
        <v>464</v>
      </c>
      <c r="D85" s="32">
        <v>64</v>
      </c>
      <c r="E85" s="32">
        <v>83</v>
      </c>
      <c r="F85" s="32">
        <v>194</v>
      </c>
      <c r="G85" s="32">
        <v>376</v>
      </c>
      <c r="H85" s="32">
        <v>519</v>
      </c>
      <c r="I85" s="32">
        <v>661</v>
      </c>
      <c r="J85" s="4"/>
      <c r="K85" s="4"/>
      <c r="L85" s="4"/>
      <c r="M85" s="4"/>
      <c r="N85" s="4" t="s">
        <v>433</v>
      </c>
      <c r="O85" s="4" t="s">
        <v>433</v>
      </c>
      <c r="P85" s="4" t="s">
        <v>465</v>
      </c>
      <c r="Q85" s="4" t="s">
        <v>29</v>
      </c>
      <c r="R85" s="4"/>
      <c r="S85" s="4" t="s">
        <v>26</v>
      </c>
      <c r="T85" s="4" t="s">
        <v>466</v>
      </c>
      <c r="U85" s="4"/>
      <c r="V85" s="4"/>
      <c r="W85" s="4"/>
      <c r="X85" s="4"/>
      <c r="Y85" s="4"/>
      <c r="Z85" s="4" t="s">
        <v>28</v>
      </c>
      <c r="AA85" s="20" t="s">
        <v>467</v>
      </c>
    </row>
    <row r="86" spans="1:27" x14ac:dyDescent="0.25">
      <c r="A86" s="18" t="s">
        <v>400</v>
      </c>
      <c r="B86" s="3" t="s">
        <v>34</v>
      </c>
      <c r="C86" s="3" t="s">
        <v>469</v>
      </c>
      <c r="D86" s="32">
        <v>26</v>
      </c>
      <c r="E86" s="32">
        <v>20</v>
      </c>
      <c r="F86" s="32">
        <v>156</v>
      </c>
      <c r="G86" s="32">
        <v>199</v>
      </c>
      <c r="H86" s="32">
        <v>187</v>
      </c>
      <c r="I86" s="32">
        <v>214</v>
      </c>
      <c r="J86" s="4"/>
      <c r="K86" s="4"/>
      <c r="L86" s="4"/>
      <c r="M86" s="4"/>
      <c r="N86" s="4" t="s">
        <v>433</v>
      </c>
      <c r="O86" s="4" t="s">
        <v>433</v>
      </c>
      <c r="P86" s="4" t="s">
        <v>470</v>
      </c>
      <c r="Q86" s="4" t="s">
        <v>29</v>
      </c>
      <c r="R86" s="4"/>
      <c r="S86" s="4" t="s">
        <v>26</v>
      </c>
      <c r="T86" s="4" t="s">
        <v>471</v>
      </c>
      <c r="U86" s="4"/>
      <c r="V86" s="4"/>
      <c r="W86" s="4"/>
      <c r="X86" s="4"/>
      <c r="Y86" s="4"/>
      <c r="Z86" s="4" t="s">
        <v>28</v>
      </c>
      <c r="AA86" s="20" t="s">
        <v>472</v>
      </c>
    </row>
    <row r="87" spans="1:27" ht="30" x14ac:dyDescent="0.25">
      <c r="A87" s="18" t="s">
        <v>404</v>
      </c>
      <c r="B87" s="3" t="s">
        <v>34</v>
      </c>
      <c r="C87" s="3" t="s">
        <v>473</v>
      </c>
      <c r="D87" s="32">
        <v>2516</v>
      </c>
      <c r="E87" s="32">
        <v>2975</v>
      </c>
      <c r="F87" s="32">
        <v>4244</v>
      </c>
      <c r="G87" s="32">
        <v>5637</v>
      </c>
      <c r="H87" s="32">
        <v>6142</v>
      </c>
      <c r="I87" s="32">
        <v>7662</v>
      </c>
      <c r="J87" s="4"/>
      <c r="K87" s="4"/>
      <c r="L87" s="4"/>
      <c r="M87" s="4"/>
      <c r="N87" s="4" t="s">
        <v>433</v>
      </c>
      <c r="O87" s="4" t="s">
        <v>433</v>
      </c>
      <c r="P87" s="4" t="s">
        <v>474</v>
      </c>
      <c r="Q87" s="4" t="s">
        <v>29</v>
      </c>
      <c r="R87" s="4"/>
      <c r="S87" s="4" t="s">
        <v>26</v>
      </c>
      <c r="T87" s="4" t="s">
        <v>475</v>
      </c>
      <c r="U87" s="4"/>
      <c r="V87" s="4"/>
      <c r="W87" s="4"/>
      <c r="X87" s="4"/>
      <c r="Y87" s="4"/>
      <c r="Z87" s="4" t="s">
        <v>28</v>
      </c>
      <c r="AA87" s="20" t="s">
        <v>476</v>
      </c>
    </row>
    <row r="88" spans="1:27" x14ac:dyDescent="0.25">
      <c r="A88" s="18" t="s">
        <v>408</v>
      </c>
      <c r="B88" s="3" t="s">
        <v>34</v>
      </c>
      <c r="C88" s="3" t="s">
        <v>478</v>
      </c>
      <c r="D88" s="32">
        <v>1139</v>
      </c>
      <c r="E88" s="32">
        <v>989</v>
      </c>
      <c r="F88" s="32">
        <v>821</v>
      </c>
      <c r="G88" s="32">
        <v>755</v>
      </c>
      <c r="H88" s="32">
        <v>752</v>
      </c>
      <c r="I88" s="32">
        <v>884</v>
      </c>
      <c r="J88" s="4"/>
      <c r="K88" s="4"/>
      <c r="L88" s="4"/>
      <c r="M88" s="4"/>
      <c r="N88" s="4" t="s">
        <v>477</v>
      </c>
      <c r="O88" s="4" t="s">
        <v>222</v>
      </c>
      <c r="P88" s="4" t="s">
        <v>479</v>
      </c>
      <c r="Q88" s="4" t="s">
        <v>481</v>
      </c>
      <c r="R88" s="4" t="s">
        <v>42</v>
      </c>
      <c r="S88" s="4" t="s">
        <v>26</v>
      </c>
      <c r="T88" s="4" t="s">
        <v>480</v>
      </c>
      <c r="U88" s="4"/>
      <c r="V88" s="4"/>
      <c r="W88" s="4"/>
      <c r="X88" s="4"/>
      <c r="Y88" s="4"/>
      <c r="Z88" s="4" t="s">
        <v>28</v>
      </c>
      <c r="AA88" s="20" t="s">
        <v>162</v>
      </c>
    </row>
    <row r="89" spans="1:27" x14ac:dyDescent="0.25">
      <c r="A89" s="18" t="s">
        <v>412</v>
      </c>
      <c r="B89" s="3" t="s">
        <v>34</v>
      </c>
      <c r="C89" s="3" t="s">
        <v>482</v>
      </c>
      <c r="D89" s="32">
        <v>183</v>
      </c>
      <c r="E89" s="32">
        <v>172</v>
      </c>
      <c r="F89" s="32">
        <v>159</v>
      </c>
      <c r="G89" s="32">
        <v>139</v>
      </c>
      <c r="H89" s="32">
        <v>137</v>
      </c>
      <c r="I89" s="32">
        <v>156</v>
      </c>
      <c r="J89" s="4"/>
      <c r="K89" s="4"/>
      <c r="L89" s="4"/>
      <c r="M89" s="4"/>
      <c r="N89" s="4" t="s">
        <v>477</v>
      </c>
      <c r="O89" s="4" t="s">
        <v>222</v>
      </c>
      <c r="P89" s="4" t="s">
        <v>483</v>
      </c>
      <c r="Q89" s="4" t="s">
        <v>485</v>
      </c>
      <c r="R89" s="4" t="s">
        <v>42</v>
      </c>
      <c r="S89" s="4" t="s">
        <v>26</v>
      </c>
      <c r="T89" s="4" t="s">
        <v>484</v>
      </c>
      <c r="U89" s="4"/>
      <c r="V89" s="4"/>
      <c r="W89" s="4"/>
      <c r="X89" s="4"/>
      <c r="Y89" s="4"/>
      <c r="Z89" s="4" t="s">
        <v>28</v>
      </c>
      <c r="AA89" s="20" t="s">
        <v>162</v>
      </c>
    </row>
    <row r="90" spans="1:27" ht="30" x14ac:dyDescent="0.25">
      <c r="A90" s="18" t="s">
        <v>416</v>
      </c>
      <c r="B90" s="3" t="s">
        <v>34</v>
      </c>
      <c r="C90" s="3" t="s">
        <v>486</v>
      </c>
      <c r="D90" s="32">
        <v>392</v>
      </c>
      <c r="E90" s="32">
        <v>801</v>
      </c>
      <c r="F90" s="32">
        <v>798</v>
      </c>
      <c r="G90" s="32">
        <v>706</v>
      </c>
      <c r="H90" s="32">
        <v>763</v>
      </c>
      <c r="I90" s="32"/>
      <c r="J90" s="4"/>
      <c r="K90" s="4"/>
      <c r="L90" s="4"/>
      <c r="M90" s="4"/>
      <c r="N90" s="4" t="s">
        <v>477</v>
      </c>
      <c r="O90" s="4" t="s">
        <v>222</v>
      </c>
      <c r="P90" s="4" t="s">
        <v>487</v>
      </c>
      <c r="Q90" s="4" t="s">
        <v>29</v>
      </c>
      <c r="R90" s="4" t="s">
        <v>42</v>
      </c>
      <c r="S90" s="4" t="s">
        <v>26</v>
      </c>
      <c r="T90" s="4" t="s">
        <v>488</v>
      </c>
      <c r="U90" s="4"/>
      <c r="V90" s="4"/>
      <c r="W90" s="4"/>
      <c r="X90" s="4"/>
      <c r="Y90" s="4"/>
      <c r="Z90" s="4" t="s">
        <v>28</v>
      </c>
      <c r="AA90" s="20" t="s">
        <v>489</v>
      </c>
    </row>
    <row r="91" spans="1:27" x14ac:dyDescent="0.25">
      <c r="A91" s="18" t="s">
        <v>420</v>
      </c>
      <c r="B91" s="3" t="s">
        <v>34</v>
      </c>
      <c r="C91" s="3" t="s">
        <v>491</v>
      </c>
      <c r="D91" s="32">
        <v>4897</v>
      </c>
      <c r="E91" s="32">
        <v>4148</v>
      </c>
      <c r="F91" s="32">
        <v>3553</v>
      </c>
      <c r="G91" s="32">
        <v>3117</v>
      </c>
      <c r="H91" s="32">
        <v>3548</v>
      </c>
      <c r="I91" s="32">
        <v>3676</v>
      </c>
      <c r="J91" s="4"/>
      <c r="K91" s="4"/>
      <c r="L91" s="4"/>
      <c r="M91" s="4"/>
      <c r="N91" s="4" t="s">
        <v>490</v>
      </c>
      <c r="O91" s="4" t="s">
        <v>492</v>
      </c>
      <c r="P91" s="4" t="s">
        <v>493</v>
      </c>
      <c r="Q91" s="4" t="s">
        <v>29</v>
      </c>
      <c r="R91" s="4"/>
      <c r="S91" s="4" t="s">
        <v>494</v>
      </c>
      <c r="T91" s="4" t="s">
        <v>495</v>
      </c>
      <c r="U91" s="4"/>
      <c r="V91" s="4"/>
      <c r="W91" s="4"/>
      <c r="X91" s="4"/>
      <c r="Y91" s="4"/>
      <c r="Z91" s="4" t="s">
        <v>28</v>
      </c>
      <c r="AA91" s="20" t="s">
        <v>496</v>
      </c>
    </row>
    <row r="92" spans="1:27" x14ac:dyDescent="0.25">
      <c r="A92" s="18" t="s">
        <v>424</v>
      </c>
      <c r="B92" s="3" t="s">
        <v>34</v>
      </c>
      <c r="C92" s="3" t="s">
        <v>497</v>
      </c>
      <c r="D92" s="32">
        <v>1256</v>
      </c>
      <c r="E92" s="32">
        <v>1168</v>
      </c>
      <c r="F92" s="32">
        <v>1076</v>
      </c>
      <c r="G92" s="32">
        <v>959</v>
      </c>
      <c r="H92" s="32">
        <v>1107</v>
      </c>
      <c r="I92" s="32">
        <v>1160</v>
      </c>
      <c r="J92" s="4"/>
      <c r="K92" s="4"/>
      <c r="L92" s="4"/>
      <c r="M92" s="4"/>
      <c r="N92" s="4" t="s">
        <v>490</v>
      </c>
      <c r="O92" s="4" t="s">
        <v>492</v>
      </c>
      <c r="P92" s="4" t="s">
        <v>498</v>
      </c>
      <c r="Q92" s="4" t="s">
        <v>29</v>
      </c>
      <c r="R92" s="4"/>
      <c r="S92" s="4" t="s">
        <v>494</v>
      </c>
      <c r="T92" s="4" t="s">
        <v>499</v>
      </c>
      <c r="U92" s="4"/>
      <c r="V92" s="4"/>
      <c r="W92" s="4"/>
      <c r="X92" s="4"/>
      <c r="Y92" s="4"/>
      <c r="Z92" s="4" t="s">
        <v>28</v>
      </c>
      <c r="AA92" s="20" t="s">
        <v>500</v>
      </c>
    </row>
    <row r="93" spans="1:27" x14ac:dyDescent="0.25">
      <c r="A93" s="18" t="s">
        <v>428</v>
      </c>
      <c r="B93" s="3" t="s">
        <v>34</v>
      </c>
      <c r="C93" s="3" t="s">
        <v>501</v>
      </c>
      <c r="D93" s="32">
        <v>1150</v>
      </c>
      <c r="E93" s="32">
        <v>1043</v>
      </c>
      <c r="F93" s="32">
        <v>954</v>
      </c>
      <c r="G93" s="32">
        <v>820</v>
      </c>
      <c r="H93" s="32">
        <v>941</v>
      </c>
      <c r="I93" s="32">
        <v>999</v>
      </c>
      <c r="J93" s="4"/>
      <c r="K93" s="4"/>
      <c r="L93" s="4"/>
      <c r="M93" s="4"/>
      <c r="N93" s="4" t="s">
        <v>490</v>
      </c>
      <c r="O93" s="4" t="s">
        <v>492</v>
      </c>
      <c r="P93" s="4" t="s">
        <v>502</v>
      </c>
      <c r="Q93" s="4" t="s">
        <v>29</v>
      </c>
      <c r="R93" s="4" t="s">
        <v>42</v>
      </c>
      <c r="S93" s="4" t="s">
        <v>494</v>
      </c>
      <c r="T93" s="4" t="s">
        <v>503</v>
      </c>
      <c r="U93" s="4"/>
      <c r="V93" s="4"/>
      <c r="W93" s="4"/>
      <c r="X93" s="4"/>
      <c r="Y93" s="4"/>
      <c r="Z93" s="4" t="s">
        <v>28</v>
      </c>
      <c r="AA93" s="20"/>
    </row>
    <row r="94" spans="1:27" x14ac:dyDescent="0.25">
      <c r="A94" s="18" t="s">
        <v>432</v>
      </c>
      <c r="B94" s="3" t="s">
        <v>34</v>
      </c>
      <c r="C94" s="3" t="s">
        <v>504</v>
      </c>
      <c r="D94" s="32">
        <v>106</v>
      </c>
      <c r="E94" s="32">
        <v>125</v>
      </c>
      <c r="F94" s="32">
        <v>122</v>
      </c>
      <c r="G94" s="32">
        <v>139</v>
      </c>
      <c r="H94" s="32">
        <v>166</v>
      </c>
      <c r="I94" s="32">
        <v>161</v>
      </c>
      <c r="J94" s="4"/>
      <c r="K94" s="4"/>
      <c r="L94" s="4"/>
      <c r="M94" s="4"/>
      <c r="N94" s="4" t="s">
        <v>490</v>
      </c>
      <c r="O94" s="4" t="s">
        <v>492</v>
      </c>
      <c r="P94" s="4" t="s">
        <v>505</v>
      </c>
      <c r="Q94" s="4" t="s">
        <v>29</v>
      </c>
      <c r="R94" s="4"/>
      <c r="S94" s="4" t="s">
        <v>494</v>
      </c>
      <c r="T94" s="4" t="s">
        <v>506</v>
      </c>
      <c r="U94" s="4"/>
      <c r="V94" s="4"/>
      <c r="W94" s="4"/>
      <c r="X94" s="4"/>
      <c r="Y94" s="4"/>
      <c r="Z94" s="4" t="s">
        <v>28</v>
      </c>
      <c r="AA94" s="20"/>
    </row>
    <row r="95" spans="1:27" x14ac:dyDescent="0.25">
      <c r="A95" s="18" t="s">
        <v>438</v>
      </c>
      <c r="B95" s="3" t="s">
        <v>34</v>
      </c>
      <c r="C95" s="3" t="s">
        <v>507</v>
      </c>
      <c r="D95" s="32">
        <v>2163</v>
      </c>
      <c r="E95" s="32">
        <v>1630</v>
      </c>
      <c r="F95" s="32">
        <v>1133</v>
      </c>
      <c r="G95" s="32">
        <v>867</v>
      </c>
      <c r="H95" s="32">
        <v>771</v>
      </c>
      <c r="I95" s="32">
        <v>783</v>
      </c>
      <c r="J95" s="4"/>
      <c r="K95" s="4"/>
      <c r="L95" s="4"/>
      <c r="M95" s="4"/>
      <c r="N95" s="4" t="s">
        <v>490</v>
      </c>
      <c r="O95" s="4" t="s">
        <v>492</v>
      </c>
      <c r="P95" s="4" t="s">
        <v>508</v>
      </c>
      <c r="Q95" s="4" t="s">
        <v>29</v>
      </c>
      <c r="R95" s="4" t="s">
        <v>42</v>
      </c>
      <c r="S95" s="4" t="s">
        <v>494</v>
      </c>
      <c r="T95" s="4" t="s">
        <v>509</v>
      </c>
      <c r="U95" s="4"/>
      <c r="V95" s="4"/>
      <c r="W95" s="4"/>
      <c r="X95" s="4"/>
      <c r="Y95" s="4"/>
      <c r="Z95" s="4" t="s">
        <v>28</v>
      </c>
      <c r="AA95" s="20" t="s">
        <v>510</v>
      </c>
    </row>
    <row r="96" spans="1:27" x14ac:dyDescent="0.25">
      <c r="A96" s="18" t="s">
        <v>443</v>
      </c>
      <c r="B96" s="3" t="s">
        <v>34</v>
      </c>
      <c r="C96" s="3" t="s">
        <v>511</v>
      </c>
      <c r="D96" s="32">
        <v>463</v>
      </c>
      <c r="E96" s="32">
        <v>498</v>
      </c>
      <c r="F96" s="32">
        <v>473</v>
      </c>
      <c r="G96" s="32">
        <v>510</v>
      </c>
      <c r="H96" s="32">
        <v>560</v>
      </c>
      <c r="I96" s="32">
        <v>682</v>
      </c>
      <c r="J96" s="4"/>
      <c r="K96" s="4"/>
      <c r="L96" s="4"/>
      <c r="M96" s="4"/>
      <c r="N96" s="4" t="s">
        <v>490</v>
      </c>
      <c r="O96" s="4" t="s">
        <v>492</v>
      </c>
      <c r="P96" s="4" t="s">
        <v>512</v>
      </c>
      <c r="Q96" s="4" t="s">
        <v>29</v>
      </c>
      <c r="R96" s="4"/>
      <c r="S96" s="4" t="s">
        <v>494</v>
      </c>
      <c r="T96" s="4" t="s">
        <v>513</v>
      </c>
      <c r="U96" s="4"/>
      <c r="V96" s="4"/>
      <c r="W96" s="4"/>
      <c r="X96" s="4"/>
      <c r="Y96" s="4"/>
      <c r="Z96" s="4" t="s">
        <v>28</v>
      </c>
      <c r="AA96" s="20"/>
    </row>
    <row r="97" spans="1:27" x14ac:dyDescent="0.25">
      <c r="A97" s="18" t="s">
        <v>448</v>
      </c>
      <c r="B97" s="3" t="s">
        <v>34</v>
      </c>
      <c r="C97" s="3" t="s">
        <v>514</v>
      </c>
      <c r="D97" s="32">
        <v>1700</v>
      </c>
      <c r="E97" s="32">
        <v>1132</v>
      </c>
      <c r="F97" s="32">
        <v>660</v>
      </c>
      <c r="G97" s="32">
        <v>357</v>
      </c>
      <c r="H97" s="32">
        <v>211</v>
      </c>
      <c r="I97" s="32">
        <v>101</v>
      </c>
      <c r="J97" s="4"/>
      <c r="K97" s="4"/>
      <c r="L97" s="4"/>
      <c r="M97" s="4"/>
      <c r="N97" s="4" t="s">
        <v>490</v>
      </c>
      <c r="O97" s="4" t="s">
        <v>492</v>
      </c>
      <c r="P97" s="4" t="s">
        <v>515</v>
      </c>
      <c r="Q97" s="4" t="s">
        <v>29</v>
      </c>
      <c r="R97" s="4"/>
      <c r="S97" s="4" t="s">
        <v>494</v>
      </c>
      <c r="T97" s="4" t="s">
        <v>516</v>
      </c>
      <c r="U97" s="4"/>
      <c r="V97" s="4"/>
      <c r="W97" s="4"/>
      <c r="X97" s="4"/>
      <c r="Y97" s="4"/>
      <c r="Z97" s="4" t="s">
        <v>28</v>
      </c>
      <c r="AA97" s="20"/>
    </row>
    <row r="98" spans="1:27" x14ac:dyDescent="0.25">
      <c r="A98" s="18" t="s">
        <v>453</v>
      </c>
      <c r="B98" s="3" t="s">
        <v>34</v>
      </c>
      <c r="C98" s="3" t="s">
        <v>517</v>
      </c>
      <c r="D98" s="32">
        <v>1478</v>
      </c>
      <c r="E98" s="32">
        <v>1350</v>
      </c>
      <c r="F98" s="32">
        <v>1344</v>
      </c>
      <c r="G98" s="32">
        <v>1273</v>
      </c>
      <c r="H98" s="32">
        <v>1605</v>
      </c>
      <c r="I98" s="32">
        <v>1672</v>
      </c>
      <c r="J98" s="4"/>
      <c r="K98" s="4"/>
      <c r="L98" s="4"/>
      <c r="M98" s="4"/>
      <c r="N98" s="4" t="s">
        <v>490</v>
      </c>
      <c r="O98" s="4" t="s">
        <v>492</v>
      </c>
      <c r="P98" s="4" t="s">
        <v>518</v>
      </c>
      <c r="Q98" s="4" t="s">
        <v>29</v>
      </c>
      <c r="R98" s="4" t="s">
        <v>42</v>
      </c>
      <c r="S98" s="4" t="s">
        <v>494</v>
      </c>
      <c r="T98" s="4" t="s">
        <v>519</v>
      </c>
      <c r="U98" s="4"/>
      <c r="V98" s="4"/>
      <c r="W98" s="4"/>
      <c r="X98" s="4"/>
      <c r="Y98" s="4"/>
      <c r="Z98" s="4" t="s">
        <v>28</v>
      </c>
      <c r="AA98" s="20" t="s">
        <v>520</v>
      </c>
    </row>
    <row r="99" spans="1:27" x14ac:dyDescent="0.25">
      <c r="A99" s="18" t="s">
        <v>458</v>
      </c>
      <c r="B99" s="3" t="s">
        <v>34</v>
      </c>
      <c r="C99" s="3" t="s">
        <v>521</v>
      </c>
      <c r="D99" s="32">
        <v>630</v>
      </c>
      <c r="E99" s="32">
        <v>621</v>
      </c>
      <c r="F99" s="32">
        <v>650</v>
      </c>
      <c r="G99" s="32">
        <v>590</v>
      </c>
      <c r="H99" s="32">
        <v>756</v>
      </c>
      <c r="I99" s="32">
        <v>877</v>
      </c>
      <c r="J99" s="4"/>
      <c r="K99" s="4"/>
      <c r="L99" s="4"/>
      <c r="M99" s="4"/>
      <c r="N99" s="4" t="s">
        <v>490</v>
      </c>
      <c r="O99" s="4" t="s">
        <v>492</v>
      </c>
      <c r="P99" s="4" t="s">
        <v>522</v>
      </c>
      <c r="Q99" s="4" t="s">
        <v>29</v>
      </c>
      <c r="R99" s="4"/>
      <c r="S99" s="4" t="s">
        <v>494</v>
      </c>
      <c r="T99" s="4" t="s">
        <v>523</v>
      </c>
      <c r="U99" s="4"/>
      <c r="V99" s="4"/>
      <c r="W99" s="4"/>
      <c r="X99" s="4"/>
      <c r="Y99" s="4"/>
      <c r="Z99" s="4" t="s">
        <v>28</v>
      </c>
      <c r="AA99" s="20"/>
    </row>
    <row r="100" spans="1:27" x14ac:dyDescent="0.25">
      <c r="A100" s="18" t="s">
        <v>463</v>
      </c>
      <c r="B100" s="3" t="s">
        <v>34</v>
      </c>
      <c r="C100" s="3" t="s">
        <v>524</v>
      </c>
      <c r="D100" s="32">
        <v>848</v>
      </c>
      <c r="E100" s="32">
        <v>729</v>
      </c>
      <c r="F100" s="32">
        <v>694</v>
      </c>
      <c r="G100" s="32">
        <v>683</v>
      </c>
      <c r="H100" s="32">
        <v>849</v>
      </c>
      <c r="I100" s="32">
        <v>795</v>
      </c>
      <c r="J100" s="4"/>
      <c r="K100" s="4"/>
      <c r="L100" s="4"/>
      <c r="M100" s="4"/>
      <c r="N100" s="4" t="s">
        <v>490</v>
      </c>
      <c r="O100" s="4" t="s">
        <v>492</v>
      </c>
      <c r="P100" s="4" t="s">
        <v>525</v>
      </c>
      <c r="Q100" s="4" t="s">
        <v>29</v>
      </c>
      <c r="R100" s="4"/>
      <c r="S100" s="4" t="s">
        <v>494</v>
      </c>
      <c r="T100" s="4" t="s">
        <v>526</v>
      </c>
      <c r="U100" s="4"/>
      <c r="V100" s="4"/>
      <c r="W100" s="4"/>
      <c r="X100" s="4"/>
      <c r="Y100" s="4"/>
      <c r="Z100" s="4" t="s">
        <v>28</v>
      </c>
      <c r="AA100" s="20"/>
    </row>
    <row r="101" spans="1:27" x14ac:dyDescent="0.25">
      <c r="A101" s="26" t="s">
        <v>468</v>
      </c>
      <c r="B101" s="27" t="s">
        <v>34</v>
      </c>
      <c r="C101" s="27" t="s">
        <v>527</v>
      </c>
      <c r="D101" s="59">
        <v>0</v>
      </c>
      <c r="E101" s="59">
        <v>0</v>
      </c>
      <c r="F101" s="59">
        <v>0</v>
      </c>
      <c r="G101" s="59">
        <v>18</v>
      </c>
      <c r="H101" s="59">
        <v>65</v>
      </c>
      <c r="I101" s="59">
        <v>61</v>
      </c>
      <c r="J101" s="28"/>
      <c r="K101" s="28"/>
      <c r="L101" s="28"/>
      <c r="M101" s="28"/>
      <c r="N101" s="28" t="s">
        <v>490</v>
      </c>
      <c r="O101" s="28" t="s">
        <v>492</v>
      </c>
      <c r="P101" s="28" t="s">
        <v>528</v>
      </c>
      <c r="Q101" s="28" t="s">
        <v>29</v>
      </c>
      <c r="R101" s="28"/>
      <c r="S101" s="28" t="s">
        <v>494</v>
      </c>
      <c r="T101" s="28" t="s">
        <v>529</v>
      </c>
      <c r="U101" s="28"/>
      <c r="V101" s="28"/>
      <c r="W101" s="28"/>
      <c r="X101" s="28"/>
      <c r="Y101" s="28"/>
      <c r="Z101" s="28" t="s">
        <v>28</v>
      </c>
      <c r="AA101" s="29"/>
    </row>
    <row r="102" spans="1:27" x14ac:dyDescent="0.25">
      <c r="U102" s="2"/>
    </row>
    <row r="103" spans="1:27" x14ac:dyDescent="0.25">
      <c r="U103" s="2"/>
    </row>
    <row r="104" spans="1:27" x14ac:dyDescent="0.25">
      <c r="U104" s="2"/>
    </row>
    <row r="105" spans="1:27" x14ac:dyDescent="0.25">
      <c r="U105" s="2"/>
    </row>
    <row r="106" spans="1:27" x14ac:dyDescent="0.25">
      <c r="U106" s="2"/>
    </row>
    <row r="107" spans="1:27" x14ac:dyDescent="0.25">
      <c r="U107" s="2"/>
    </row>
  </sheetData>
  <phoneticPr fontId="18" type="noConversion"/>
  <conditionalFormatting sqref="C1:C1048576">
    <cfRule type="duplicateValues" dxfId="0"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12D1-B1AC-4A4A-96F8-E273E2237416}">
  <dimension ref="A1:AA32"/>
  <sheetViews>
    <sheetView workbookViewId="0">
      <selection activeCell="B1" sqref="B1"/>
    </sheetView>
  </sheetViews>
  <sheetFormatPr defaultRowHeight="15" x14ac:dyDescent="0.25"/>
  <cols>
    <col min="1" max="1" width="13.5703125" style="9" bestFit="1" customWidth="1"/>
    <col min="2" max="2" width="67.140625" style="9" bestFit="1" customWidth="1"/>
    <col min="3" max="3" width="67.42578125" style="9" bestFit="1" customWidth="1"/>
    <col min="4" max="9" width="16" style="9" bestFit="1" customWidth="1"/>
    <col min="10" max="10" width="55.42578125" style="9" bestFit="1" customWidth="1"/>
    <col min="11" max="11" width="61.7109375" style="9" bestFit="1" customWidth="1"/>
    <col min="12" max="12" width="50.85546875" style="9" bestFit="1" customWidth="1"/>
    <col min="13" max="13" width="94.85546875" style="9" bestFit="1" customWidth="1"/>
    <col min="14" max="14" width="129.28515625" style="9" bestFit="1" customWidth="1"/>
    <col min="15" max="15" width="30.7109375" style="9" bestFit="1" customWidth="1"/>
    <col min="16" max="16" width="186.5703125" style="9" bestFit="1" customWidth="1"/>
    <col min="17" max="17" width="55.42578125" style="9" bestFit="1" customWidth="1"/>
    <col min="18" max="18" width="92.28515625" style="9" bestFit="1" customWidth="1"/>
    <col min="19" max="19" width="24.85546875" style="9" bestFit="1" customWidth="1"/>
    <col min="20" max="20" width="75" style="9" bestFit="1" customWidth="1"/>
    <col min="21" max="21" width="42.28515625" style="9" bestFit="1" customWidth="1"/>
    <col min="22" max="22" width="38.5703125" style="30" bestFit="1" customWidth="1"/>
    <col min="23" max="23" width="21.7109375" style="30" bestFit="1" customWidth="1"/>
    <col min="24" max="24" width="49.42578125" style="30" bestFit="1" customWidth="1"/>
    <col min="25" max="25" width="47.42578125" style="30" bestFit="1" customWidth="1"/>
    <col min="26" max="26" width="58.140625" style="9" bestFit="1" customWidth="1"/>
    <col min="27" max="27" width="226" style="10" bestFit="1" customWidth="1"/>
  </cols>
  <sheetData>
    <row r="1" spans="1:27" x14ac:dyDescent="0.25">
      <c r="A1" s="7" t="s">
        <v>551</v>
      </c>
      <c r="B1" s="8" t="s">
        <v>530</v>
      </c>
    </row>
    <row r="3" spans="1:27" s="13" customFormat="1" ht="18.75" x14ac:dyDescent="0.25">
      <c r="A3" s="11" t="str" cm="1">
        <f t="array" ref="A3:AA3">_xlfn._xlws.FILTER(Metrics_Master[#Headers], Metrics_Master[#Headers]&lt;&gt;"")</f>
        <v>Metric ID</v>
      </c>
      <c r="B3" s="11" t="str">
        <v>Included in Master Plan(s) (Values separated with ";")</v>
      </c>
      <c r="C3" s="11" t="str">
        <v>Unified Metric Name</v>
      </c>
      <c r="D3" s="11" t="str">
        <v>2020-2021</v>
      </c>
      <c r="E3" s="11" t="str">
        <v>2021-2022</v>
      </c>
      <c r="F3" s="11" t="str">
        <v>2022-2023</v>
      </c>
      <c r="G3" s="11" t="str">
        <v>2023-2024</v>
      </c>
      <c r="H3" s="11" t="str">
        <v>2024-2025</v>
      </c>
      <c r="I3" s="11" t="str">
        <v>2025-2026</v>
      </c>
      <c r="J3" s="11" t="str">
        <v>EMP Baseline (2025-2026 Yr 0)</v>
      </c>
      <c r="K3" s="11" t="str">
        <v>EMP Target Goal</v>
      </c>
      <c r="L3" s="11" t="str">
        <v>Strategic Plan Baseline (2024-2025 Yr 0)</v>
      </c>
      <c r="M3" s="11" t="str">
        <v>Strategic Plan Target Goal (2026-2030)</v>
      </c>
      <c r="N3" s="11" t="str">
        <v>Metric Category(s) (Values separated with ";")</v>
      </c>
      <c r="O3" s="11" t="str">
        <v>Parent Metric / Group(s) (Values separated with ";")</v>
      </c>
      <c r="P3" s="11" t="str">
        <v>Disaggregation / Sub-Group</v>
      </c>
      <c r="Q3" s="11" t="str">
        <v>Data Source(s) (Values separated with ";")</v>
      </c>
      <c r="R3" s="11" t="str">
        <v>Metric Trait(s) / Initiative Alignment (Values separated with ";")</v>
      </c>
      <c r="S3" s="11" t="str">
        <v>Metric Unit / Format</v>
      </c>
      <c r="T3" s="11" t="str">
        <v>Metric Definition</v>
      </c>
      <c r="U3" s="11" t="str">
        <v>EMP Plan Area(s) (Values separated with ";")</v>
      </c>
      <c r="V3" s="31" t="str">
        <v>EMP Goal</v>
      </c>
      <c r="W3" s="31" t="str">
        <v>Strategic Plan Goal</v>
      </c>
      <c r="X3" s="31" t="str">
        <v>Strategic Plan Objective</v>
      </c>
      <c r="Y3" s="31" t="str">
        <v>Guided Pathways Alignment</v>
      </c>
      <c r="Z3" s="11" t="str">
        <v>Responsible Party(s) (Values separated with ";")</v>
      </c>
      <c r="AA3" s="12" t="str">
        <v>Notes &amp; Methodology Nuances</v>
      </c>
    </row>
    <row r="4" spans="1:27" x14ac:dyDescent="0.25">
      <c r="A4" s="9" t="str" cm="1">
        <f t="array" ref="A4:AA32">_xlfn._xlws.FILTER(Metrics_Master[], ISNUMBER(SEARCH(B1, Metrics_Master[Included in Master Plan(s) (Values separated with ";")])), "No records found")</f>
        <v>M-001</v>
      </c>
      <c r="B4" s="9" t="str">
        <v>Educational Master Plan; Ongoing Report Card</v>
      </c>
      <c r="C4" s="9" t="str">
        <v>Unduplicated Annual Headcount</v>
      </c>
      <c r="D4" s="9">
        <v>28796</v>
      </c>
      <c r="E4" s="9">
        <v>28316</v>
      </c>
      <c r="F4" s="9">
        <v>30505</v>
      </c>
      <c r="G4" s="9">
        <v>33531</v>
      </c>
      <c r="H4" s="9">
        <v>36077</v>
      </c>
      <c r="I4" s="9">
        <v>36592</v>
      </c>
      <c r="J4" s="9">
        <v>36592</v>
      </c>
      <c r="K4" s="9">
        <v>0</v>
      </c>
      <c r="L4" s="9">
        <v>0</v>
      </c>
      <c r="M4" s="9">
        <v>0</v>
      </c>
      <c r="N4" s="9" t="str">
        <v>Enrollment &amp; Access</v>
      </c>
      <c r="O4" s="9" t="str">
        <v>Unduplicated Annual Headcount</v>
      </c>
      <c r="P4" s="9" t="str">
        <v>Total Districtwide</v>
      </c>
      <c r="Q4" s="9" t="str">
        <v>MIS Datamart</v>
      </c>
      <c r="R4" s="9">
        <v>0</v>
      </c>
      <c r="S4" s="9" t="str">
        <v>Count</v>
      </c>
      <c r="T4" s="9" t="str">
        <v>Total unduplicated annual student headcount across the district.</v>
      </c>
      <c r="U4" s="9" t="str">
        <v>Location</v>
      </c>
      <c r="V4" s="30" t="str">
        <v>Goal 1: Expand Equitable Access and Enrollment Growth</v>
      </c>
      <c r="W4" s="30">
        <v>0</v>
      </c>
      <c r="X4" s="30">
        <v>0</v>
      </c>
      <c r="Y4" s="30" t="str">
        <v>Pillar I. Clarify the Path</v>
      </c>
      <c r="Z4" s="9" t="str">
        <v>Executive Director, Institutional Research</v>
      </c>
      <c r="AA4" s="10" t="str">
        <v>Overlaps between EMP Dashboard ('Unduplicated Annual Headcount', 2022-25 YoY +7.59%) and Ongoing Report Card ('Headcount', 2020-26).</v>
      </c>
    </row>
    <row r="5" spans="1:27" ht="30" x14ac:dyDescent="0.25">
      <c r="A5" s="9" t="str">
        <v>M-003a</v>
      </c>
      <c r="B5" s="9" t="str">
        <v>Educational Master Plan; Ongoing Report Card</v>
      </c>
      <c r="C5" s="9" t="str">
        <v>Full-Time Equivalent Students (Total FTES – CCFS-320 Report)</v>
      </c>
      <c r="D5" s="9">
        <v>14513.1</v>
      </c>
      <c r="E5" s="9">
        <v>13417.53</v>
      </c>
      <c r="F5" s="9">
        <v>14360.78</v>
      </c>
      <c r="G5" s="9">
        <v>15514.77</v>
      </c>
      <c r="H5" s="9">
        <v>17884.3</v>
      </c>
      <c r="I5" s="9">
        <v>18268.48</v>
      </c>
      <c r="J5" s="9">
        <v>18268.48</v>
      </c>
      <c r="K5" s="9">
        <v>0</v>
      </c>
      <c r="L5" s="9">
        <v>0</v>
      </c>
      <c r="M5" s="9">
        <v>0</v>
      </c>
      <c r="N5" s="9" t="str">
        <v>Enrollment &amp; Access</v>
      </c>
      <c r="O5" s="9" t="str">
        <v>Full-Time Equivalent Students (FTES)</v>
      </c>
      <c r="P5" s="9" t="str">
        <v>Total Districtwide (CCFS-320 Annual)</v>
      </c>
      <c r="Q5" s="9" t="str">
        <v>CCFS-320 Report; MIS Datamart</v>
      </c>
      <c r="R5" s="9" t="str">
        <v>Student Centered Funding Formula (SCFF)</v>
      </c>
      <c r="S5" s="9" t="str">
        <v>Decimal (FTES)</v>
      </c>
      <c r="T5" s="9" t="str">
        <v>Total Full-Time Equivalent Students (FTES) generated districtwide across the reporting year.</v>
      </c>
      <c r="U5" s="9" t="str">
        <v>Location</v>
      </c>
      <c r="V5" s="30" t="str">
        <v>Goal 1: Expand Equitable Access and Enrollment Growth</v>
      </c>
      <c r="W5" s="30">
        <v>0</v>
      </c>
      <c r="X5" s="30">
        <v>0</v>
      </c>
      <c r="Y5" s="30" t="str">
        <v>Pillar I. Clarify the Path</v>
      </c>
      <c r="Z5" s="9" t="str">
        <v>Executive Director, Institutional Research</v>
      </c>
      <c r="AA5" s="10" t="str">
        <v>Values in 2021-26 columns are from Report Card Main (CCFS-320 Report). 2025-26 baseline is 18,268.48. Distinct from EMP Dashboard internal calculation (see M-003b).</v>
      </c>
    </row>
    <row r="6" spans="1:27" x14ac:dyDescent="0.25">
      <c r="A6" s="9" t="str">
        <v>M-003b</v>
      </c>
      <c r="B6" s="9" t="str">
        <v>Educational Master Plan; Ongoing Report Card</v>
      </c>
      <c r="C6" s="9" t="str">
        <v>Full-Time Equivalent Students (Total FTES – EMP Dashboard)</v>
      </c>
      <c r="D6" s="9">
        <v>0</v>
      </c>
      <c r="E6" s="9">
        <v>0</v>
      </c>
      <c r="F6" s="9">
        <v>13984.11</v>
      </c>
      <c r="G6" s="9">
        <v>16411.12</v>
      </c>
      <c r="H6" s="9">
        <v>16602.5</v>
      </c>
      <c r="I6" s="9">
        <v>0</v>
      </c>
      <c r="J6" s="9">
        <v>0</v>
      </c>
      <c r="K6" s="9">
        <v>0</v>
      </c>
      <c r="L6" s="9">
        <v>0</v>
      </c>
      <c r="M6" s="9">
        <v>0</v>
      </c>
      <c r="N6" s="9" t="str">
        <v>Enrollment &amp; Access</v>
      </c>
      <c r="O6" s="9" t="str">
        <v>Full-Time Equivalent Students (FTES)</v>
      </c>
      <c r="P6" s="9" t="str">
        <v>Total Districtwide (EMP Dashboard)</v>
      </c>
      <c r="Q6" s="9" t="str">
        <v>EMP Metrics Dashboard</v>
      </c>
      <c r="R6" s="9" t="str">
        <v>Student Centered Funding Formula (SCFF)</v>
      </c>
      <c r="S6" s="9" t="str">
        <v>Decimal (FTES)</v>
      </c>
      <c r="T6" s="9" t="str">
        <v>Total Full-Time Equivalent Students (FTES) generated districtwide across the reporting year.</v>
      </c>
      <c r="U6" s="9" t="str">
        <v>Location</v>
      </c>
      <c r="V6" s="30" t="str">
        <v>Goal 1: Expand Equitable Access and Enrollment Growth</v>
      </c>
      <c r="W6" s="30">
        <v>0</v>
      </c>
      <c r="X6" s="30">
        <v>0</v>
      </c>
      <c r="Y6" s="30" t="str">
        <v>Pillar I. Clarify the Path</v>
      </c>
      <c r="Z6" s="9" t="str">
        <v>Executive Director, Institutional Research</v>
      </c>
      <c r="AA6" s="10" t="str">
        <v>Tracked on EMP Metrics Dashboard (2022-23=13,984.11; 2023-24=16,411.12; 2024-25=16,602.50; YoY +1.17%). Differs from official CCFS-320 Report (M-003a).</v>
      </c>
    </row>
    <row r="7" spans="1:27" x14ac:dyDescent="0.25">
      <c r="A7" s="9" t="str">
        <v>M-004</v>
      </c>
      <c r="B7" s="9" t="str">
        <v>Educational Master Plan</v>
      </c>
      <c r="C7" s="9" t="str">
        <v>Chino Campus FTES</v>
      </c>
      <c r="D7" s="9">
        <v>0</v>
      </c>
      <c r="E7" s="9">
        <v>0</v>
      </c>
      <c r="F7" s="9">
        <v>1683.81</v>
      </c>
      <c r="G7" s="9">
        <v>1279.95</v>
      </c>
      <c r="H7" s="9">
        <v>1233.7</v>
      </c>
      <c r="I7" s="9">
        <v>1367.6</v>
      </c>
      <c r="J7" s="9">
        <v>1367.6</v>
      </c>
      <c r="K7" s="9" t="str">
        <v>1% per year</v>
      </c>
      <c r="L7" s="9">
        <v>0</v>
      </c>
      <c r="M7" s="9">
        <v>0</v>
      </c>
      <c r="N7" s="9" t="str">
        <v>Enrollment &amp; Access</v>
      </c>
      <c r="O7" s="9" t="str">
        <v>Full-Time Equivalent Students (FTES)</v>
      </c>
      <c r="P7" s="9" t="str">
        <v>Location: Chino Campus</v>
      </c>
      <c r="Q7" s="9" t="str">
        <v>CCFS-320 Portal</v>
      </c>
      <c r="R7" s="9" t="str">
        <v>Student Centered Funding Formula (SCFF)</v>
      </c>
      <c r="S7" s="9" t="str">
        <v>Decimal (FTES)</v>
      </c>
      <c r="T7" s="9" t="str">
        <v>FTES generated by sections whose location is coded as 'Chino Campus'.</v>
      </c>
      <c r="U7" s="9" t="str">
        <v>Location</v>
      </c>
      <c r="V7" s="30" t="str">
        <v>Goal 1: Expand Equitable Access and Enrollment Growth</v>
      </c>
      <c r="W7" s="30">
        <v>0</v>
      </c>
      <c r="X7" s="30">
        <v>0</v>
      </c>
      <c r="Y7" s="30" t="str">
        <v>Pillar I. Clarify the Path</v>
      </c>
      <c r="Z7" s="9">
        <v>0</v>
      </c>
      <c r="AA7" s="10" t="str">
        <v>Tracked in EMP Metrics and EMP Dashboard (2022-25 YoY -3.61%, 3-Yr Trend: Down; increased to 1,367.60 in 2025-26 baseline).</v>
      </c>
    </row>
    <row r="8" spans="1:27" x14ac:dyDescent="0.25">
      <c r="A8" s="9" t="str">
        <v>M-005</v>
      </c>
      <c r="B8" s="9" t="str">
        <v>Educational Master Plan</v>
      </c>
      <c r="C8" s="9" t="str">
        <v>Fontana Campus FTES</v>
      </c>
      <c r="D8" s="9">
        <v>0</v>
      </c>
      <c r="E8" s="9">
        <v>0</v>
      </c>
      <c r="F8" s="9">
        <v>1453.6</v>
      </c>
      <c r="G8" s="9">
        <v>1110.97</v>
      </c>
      <c r="H8" s="9">
        <v>1147.79</v>
      </c>
      <c r="I8" s="9">
        <v>1348.16</v>
      </c>
      <c r="J8" s="9">
        <v>1348.16</v>
      </c>
      <c r="K8" s="9" t="str">
        <v>1% per year</v>
      </c>
      <c r="L8" s="9">
        <v>0</v>
      </c>
      <c r="M8" s="9">
        <v>0</v>
      </c>
      <c r="N8" s="9" t="str">
        <v>Enrollment &amp; Access</v>
      </c>
      <c r="O8" s="9" t="str">
        <v>Full-Time Equivalent Students (FTES)</v>
      </c>
      <c r="P8" s="9" t="str">
        <v>Location: Fontana Campus</v>
      </c>
      <c r="Q8" s="9" t="str">
        <v>CCFS-320 Portal</v>
      </c>
      <c r="R8" s="9" t="str">
        <v>Student Centered Funding Formula (SCFF)</v>
      </c>
      <c r="S8" s="9" t="str">
        <v>Decimal (FTES)</v>
      </c>
      <c r="T8" s="9" t="str">
        <v>FTES generated by the Fontana Campus whose section location is coded as 'Fontana Campus'.</v>
      </c>
      <c r="U8" s="9" t="str">
        <v>Location</v>
      </c>
      <c r="V8" s="30" t="str">
        <v>Goal 1: Expand Equitable Access and Enrollment Growth</v>
      </c>
      <c r="W8" s="30">
        <v>0</v>
      </c>
      <c r="X8" s="30">
        <v>0</v>
      </c>
      <c r="Y8" s="30" t="str">
        <v>Pillar I. Clarify the Path</v>
      </c>
      <c r="Z8" s="9">
        <v>0</v>
      </c>
      <c r="AA8" s="10" t="str">
        <v>Tracked in EMP Metrics and EMP Dashboard (2022-25 YoY +3.31%, 3-Yr Trend: Down; increased to 1,348.16 in 2025-26 baseline).</v>
      </c>
    </row>
    <row r="9" spans="1:27" x14ac:dyDescent="0.25">
      <c r="A9" s="9" t="str">
        <v>M-006</v>
      </c>
      <c r="B9" s="9" t="str">
        <v>Educational Master Plan</v>
      </c>
      <c r="C9" s="9" t="str">
        <v>K-12 Special Admit / Dual Enrollment FTES</v>
      </c>
      <c r="D9" s="9">
        <v>0</v>
      </c>
      <c r="E9" s="9">
        <v>0</v>
      </c>
      <c r="F9" s="9">
        <v>1199.52</v>
      </c>
      <c r="G9" s="9">
        <v>1482.93</v>
      </c>
      <c r="H9" s="9">
        <v>1220.21</v>
      </c>
      <c r="I9" s="9">
        <v>1802.11</v>
      </c>
      <c r="J9" s="9">
        <v>1802.11</v>
      </c>
      <c r="K9" s="9">
        <v>0</v>
      </c>
      <c r="L9" s="9">
        <v>0</v>
      </c>
      <c r="M9" s="9">
        <v>0</v>
      </c>
      <c r="N9" s="9" t="str">
        <v>Enrollment &amp; Access</v>
      </c>
      <c r="O9" s="9" t="str">
        <v>Full-Time Equivalent Students (FTES)</v>
      </c>
      <c r="P9" s="9" t="str">
        <v>SCFF Population: K-12 Dual Enrollment</v>
      </c>
      <c r="Q9" s="9" t="str">
        <v>CCFS-320 Portal</v>
      </c>
      <c r="R9" s="9" t="str">
        <v>Student Centered Funding Formula (SCFF); Vision 2030</v>
      </c>
      <c r="S9" s="9" t="str">
        <v>Decimal (FTES)</v>
      </c>
      <c r="T9" s="9" t="str">
        <v>Credit FTES generated by K-12 dual enrollment students in the reporting year.</v>
      </c>
      <c r="U9" s="9" t="str">
        <v>SCFF Populations; Outreach &amp; Marketing</v>
      </c>
      <c r="V9" s="30" t="str">
        <v>Goal 5: Expand equitable access, with intentional emphasis on historically underserved communities</v>
      </c>
      <c r="W9" s="30">
        <v>0</v>
      </c>
      <c r="X9" s="30">
        <v>0</v>
      </c>
      <c r="Y9" s="30" t="str">
        <v>Pillar I. Clarify the Path</v>
      </c>
      <c r="Z9" s="9">
        <v>0</v>
      </c>
      <c r="AA9" s="10" t="str">
        <v>Tracked in EMP Metrics and EMP Dashboard (rebounded to 1,802.11 in 2025-26 baseline). For headcount of Special Admit students, see M-096.</v>
      </c>
    </row>
    <row r="10" spans="1:27" x14ac:dyDescent="0.25">
      <c r="A10" s="9" t="str">
        <v>M-007</v>
      </c>
      <c r="B10" s="9" t="str">
        <v>Educational Master Plan</v>
      </c>
      <c r="C10" s="9" t="str">
        <v>Incarcerated Credit FTES</v>
      </c>
      <c r="D10" s="9">
        <v>0</v>
      </c>
      <c r="E10" s="9">
        <v>0</v>
      </c>
      <c r="F10" s="9">
        <v>56.76</v>
      </c>
      <c r="G10" s="9">
        <v>104.07</v>
      </c>
      <c r="H10" s="9">
        <v>106.81</v>
      </c>
      <c r="I10" s="9">
        <v>149.16999999999999</v>
      </c>
      <c r="J10" s="9">
        <v>149.16999999999999</v>
      </c>
      <c r="K10" s="9">
        <v>0</v>
      </c>
      <c r="L10" s="9">
        <v>0</v>
      </c>
      <c r="M10" s="9">
        <v>0</v>
      </c>
      <c r="N10" s="9" t="str">
        <v>Enrollment &amp; Access</v>
      </c>
      <c r="O10" s="9" t="str">
        <v>Full-Time Equivalent Students (FTES)</v>
      </c>
      <c r="P10" s="9" t="str">
        <v>SCFF Population: Incarcerated Students</v>
      </c>
      <c r="Q10" s="9" t="str">
        <v>CCFS-320 Portal</v>
      </c>
      <c r="R10" s="9" t="str">
        <v>Student Centered Funding Formula (SCFF); Vision 2030</v>
      </c>
      <c r="S10" s="9" t="str">
        <v>Decimal (FTES)</v>
      </c>
      <c r="T10" s="9" t="str">
        <v>Credit FTES generated by incarcerated students eligible to attend under Education Code Section 84810.5(a).</v>
      </c>
      <c r="U10" s="9" t="str">
        <v>SCFF Populations; Outreach &amp; Marketing</v>
      </c>
      <c r="V10" s="30" t="str">
        <v>Goal 5: Expand equitable access, with intentional emphasis on historically underserved communities</v>
      </c>
      <c r="W10" s="30">
        <v>0</v>
      </c>
      <c r="X10" s="30">
        <v>0</v>
      </c>
      <c r="Y10" s="30" t="str">
        <v>Pillar I. Clarify the Path</v>
      </c>
      <c r="Z10" s="9">
        <v>0</v>
      </c>
      <c r="AA10" s="10" t="str">
        <v>Tracked in EMP Metrics and EMP Dashboard.</v>
      </c>
    </row>
    <row r="11" spans="1:27" x14ac:dyDescent="0.25">
      <c r="A11" s="9" t="str">
        <v>M-008</v>
      </c>
      <c r="B11" s="9" t="str">
        <v>Educational Master Plan</v>
      </c>
      <c r="C11" s="9" t="str">
        <v>Noncredit CDCP FTES</v>
      </c>
      <c r="D11" s="9">
        <v>0</v>
      </c>
      <c r="E11" s="9">
        <v>0</v>
      </c>
      <c r="F11" s="9">
        <v>218.36</v>
      </c>
      <c r="G11" s="9">
        <v>106.6</v>
      </c>
      <c r="H11" s="9">
        <v>155.51</v>
      </c>
      <c r="I11" s="9">
        <v>0</v>
      </c>
      <c r="J11" s="9">
        <v>0</v>
      </c>
      <c r="K11" s="9">
        <v>0</v>
      </c>
      <c r="L11" s="9">
        <v>0</v>
      </c>
      <c r="M11" s="9">
        <v>0</v>
      </c>
      <c r="N11" s="9" t="str">
        <v>Enrollment &amp; Access</v>
      </c>
      <c r="O11" s="9" t="str">
        <v>Full-Time Equivalent Students (FTES)</v>
      </c>
      <c r="P11" s="9" t="str">
        <v>SCFF Population: Noncredit CDCP</v>
      </c>
      <c r="Q11" s="9" t="str">
        <v>CCFS-320 Portal</v>
      </c>
      <c r="R11" s="9" t="str">
        <v>Student Centered Funding Formula (SCFF)</v>
      </c>
      <c r="S11" s="9" t="str">
        <v>Decimal (FTES)</v>
      </c>
      <c r="T11" s="9" t="str">
        <v>Noncredit Career Development and College Preparation (CDCP) Full-Time Equivalent Students.</v>
      </c>
      <c r="U11" s="9" t="str">
        <v>SCFF Populations</v>
      </c>
      <c r="V11" s="30" t="str">
        <v>Goal 5: Expand equitable access, with intentional emphasis on historically underserved communities</v>
      </c>
      <c r="W11" s="30">
        <v>0</v>
      </c>
      <c r="X11" s="30">
        <v>0</v>
      </c>
      <c r="Y11" s="30" t="str">
        <v>Pillar I. Clarify the Path</v>
      </c>
      <c r="Z11" s="9">
        <v>0</v>
      </c>
      <c r="AA11" s="10" t="str">
        <v>Tracked on EMP Dashboard.</v>
      </c>
    </row>
    <row r="12" spans="1:27" x14ac:dyDescent="0.25">
      <c r="A12" s="9" t="str">
        <v>M-009</v>
      </c>
      <c r="B12" s="9" t="str">
        <v>Educational Master Plan; Ongoing Report Card</v>
      </c>
      <c r="C12" s="9" t="str">
        <v>Pell Grant Recipient Headcount</v>
      </c>
      <c r="D12" s="9">
        <v>7515</v>
      </c>
      <c r="E12" s="9">
        <v>6853</v>
      </c>
      <c r="F12" s="9">
        <v>7190</v>
      </c>
      <c r="G12" s="9">
        <v>7853</v>
      </c>
      <c r="H12" s="9">
        <v>9301</v>
      </c>
      <c r="I12" s="9">
        <v>0</v>
      </c>
      <c r="J12" s="9">
        <v>0</v>
      </c>
      <c r="K12" s="9" t="str">
        <v>Increase 1% per year</v>
      </c>
      <c r="L12" s="9">
        <v>0</v>
      </c>
      <c r="M12" s="9">
        <v>0</v>
      </c>
      <c r="N12" s="9" t="str">
        <v>Enrollment &amp; Access</v>
      </c>
      <c r="O12" s="9" t="str">
        <v>Financial Aid; SCFF Supplemental Populations</v>
      </c>
      <c r="P12" s="9" t="str">
        <v>Pell Grant Recipients</v>
      </c>
      <c r="Q12" s="9" t="str">
        <v>SCFF file from CCCCO</v>
      </c>
      <c r="R12" s="9" t="str">
        <v>Student Centered Funding Formula (SCFF); Vision 2030</v>
      </c>
      <c r="S12" s="9" t="str">
        <v>Count</v>
      </c>
      <c r="T12" s="9" t="str">
        <v>Headcount of students by district who received a Federal Pell Grant in the district in the reporting year.</v>
      </c>
      <c r="U12" s="9" t="str">
        <v>SCFF Populations; Outreach &amp; Marketing</v>
      </c>
      <c r="V12" s="30" t="str">
        <v>Goal 5: Expand equitable access, with intentional emphasis on historically underserved communities</v>
      </c>
      <c r="W12" s="30">
        <v>0</v>
      </c>
      <c r="X12" s="30">
        <v>0</v>
      </c>
      <c r="Y12" s="30" t="str">
        <v>Pillar I. Clarify the Path</v>
      </c>
      <c r="Z12" s="9">
        <v>0</v>
      </c>
      <c r="AA12" s="10" t="str">
        <v>Overlaps across EMP ('Pell Grant Recipient Count' / 'Pell Grant Recipients') and Ongoing Report Card ('Headcount of Pell Grant Recipients').</v>
      </c>
    </row>
    <row r="13" spans="1:27" x14ac:dyDescent="0.25">
      <c r="A13" s="9" t="str">
        <v>M-010</v>
      </c>
      <c r="B13" s="9" t="str">
        <v>Educational Master Plan; Ongoing Report Card</v>
      </c>
      <c r="C13" s="9" t="str">
        <v>Promise Grant Recipient Headcount</v>
      </c>
      <c r="D13" s="9">
        <v>15458</v>
      </c>
      <c r="E13" s="9">
        <v>13884</v>
      </c>
      <c r="F13" s="9">
        <v>14134</v>
      </c>
      <c r="G13" s="9">
        <v>16152</v>
      </c>
      <c r="H13" s="9">
        <v>17089</v>
      </c>
      <c r="I13" s="9">
        <v>0</v>
      </c>
      <c r="J13" s="9">
        <v>0</v>
      </c>
      <c r="K13" s="9" t="str">
        <v>Increase 1% per year</v>
      </c>
      <c r="L13" s="9">
        <v>0</v>
      </c>
      <c r="M13" s="9">
        <v>0</v>
      </c>
      <c r="N13" s="9" t="str">
        <v>Enrollment &amp; Access</v>
      </c>
      <c r="O13" s="9" t="str">
        <v>Financial Aid; SCFF Supplemental Populations</v>
      </c>
      <c r="P13" s="9" t="str">
        <v>California College Promise Grant (CCPG) Recipients</v>
      </c>
      <c r="Q13" s="9" t="str">
        <v>SCFF file from CCCCO</v>
      </c>
      <c r="R13" s="9" t="str">
        <v>Student Centered Funding Formula (SCFF); Vision 2030</v>
      </c>
      <c r="S13" s="9" t="str">
        <v>Count</v>
      </c>
      <c r="T13" s="9" t="str">
        <v>Headcount of students by district who received a California College Promise Grant fee waiver pursuant to ECS 76300 in the district in the reporting year.</v>
      </c>
      <c r="U13" s="9" t="str">
        <v>SCFF Populations; Outreach &amp; Marketing</v>
      </c>
      <c r="V13" s="30" t="str">
        <v>Goal 5: Expand equitable access, with intentional emphasis on historically underserved communities</v>
      </c>
      <c r="W13" s="30">
        <v>0</v>
      </c>
      <c r="X13" s="30">
        <v>0</v>
      </c>
      <c r="Y13" s="30" t="str">
        <v>Pillar I. Clarify the Path</v>
      </c>
      <c r="Z13" s="9">
        <v>0</v>
      </c>
      <c r="AA13" s="10" t="str">
        <v>Overlaps across EMP ('Promise Grant Recipient Count' / 'Promise Grant Recipients') and Ongoing Report Card ('Headcount of Promise Grant Recipients').</v>
      </c>
    </row>
    <row r="14" spans="1:27" x14ac:dyDescent="0.25">
      <c r="A14" s="9" t="str">
        <v>M-011</v>
      </c>
      <c r="B14" s="9" t="str">
        <v>Educational Master Plan; Ongoing Report Card</v>
      </c>
      <c r="C14" s="9" t="str">
        <v>AB-540 Student Headcount</v>
      </c>
      <c r="D14" s="9">
        <v>1619</v>
      </c>
      <c r="E14" s="9">
        <v>1243</v>
      </c>
      <c r="F14" s="9">
        <v>566</v>
      </c>
      <c r="G14" s="9">
        <v>588</v>
      </c>
      <c r="H14" s="9">
        <v>625</v>
      </c>
      <c r="I14" s="9">
        <v>0</v>
      </c>
      <c r="J14" s="9">
        <v>0</v>
      </c>
      <c r="K14" s="9">
        <v>0</v>
      </c>
      <c r="L14" s="9">
        <v>0</v>
      </c>
      <c r="M14" s="9">
        <v>0</v>
      </c>
      <c r="N14" s="9" t="str">
        <v>Enrollment &amp; Access</v>
      </c>
      <c r="O14" s="9" t="str">
        <v>Financial Aid; SCFF Supplemental Populations</v>
      </c>
      <c r="P14" s="9" t="str">
        <v>AB540 Students</v>
      </c>
      <c r="Q14" s="9" t="str">
        <v>SCFF file from CCCCO</v>
      </c>
      <c r="R14" s="9" t="str">
        <v>Student Centered Funding Formula (SCFF)</v>
      </c>
      <c r="S14" s="9" t="str">
        <v>Count</v>
      </c>
      <c r="T14" s="9" t="str">
        <v>Headcount of students granted a nonresident tuition exemption pursuant to Education Code Section 68130.5 (AB540).</v>
      </c>
      <c r="U14" s="9" t="str">
        <v>SCFF Populations</v>
      </c>
      <c r="V14" s="30" t="str">
        <v>Goal 5: Expand equitable access, with intentional emphasis on historically underserved communities</v>
      </c>
      <c r="W14" s="30">
        <v>0</v>
      </c>
      <c r="X14" s="30">
        <v>0</v>
      </c>
      <c r="Y14" s="30" t="str">
        <v>Pillar I. Clarify the Path</v>
      </c>
      <c r="Z14" s="9">
        <v>0</v>
      </c>
      <c r="AA14" s="10" t="str">
        <v>Overlaps across EMP Dashboard ('AB540 Students') and Ongoing Report Card ('Headcount of AB540 Students').</v>
      </c>
    </row>
    <row r="15" spans="1:27" x14ac:dyDescent="0.25">
      <c r="A15" s="9" t="str">
        <v>M-012</v>
      </c>
      <c r="B15" s="9" t="str">
        <v>Educational Master Plan</v>
      </c>
      <c r="C15" s="9" t="str">
        <v>Districtwide Course Fill Rate</v>
      </c>
      <c r="D15" s="9">
        <v>0</v>
      </c>
      <c r="E15" s="9">
        <v>0</v>
      </c>
      <c r="F15" s="9">
        <v>0.78200000000000003</v>
      </c>
      <c r="G15" s="9">
        <v>0.81299999999999994</v>
      </c>
      <c r="H15" s="9">
        <v>0.82</v>
      </c>
      <c r="I15" s="9">
        <v>0.88200000000000001</v>
      </c>
      <c r="J15" s="9">
        <v>0.88200000000000001</v>
      </c>
      <c r="K15" s="9">
        <v>0.9</v>
      </c>
      <c r="L15" s="9">
        <v>0</v>
      </c>
      <c r="M15" s="9">
        <v>0</v>
      </c>
      <c r="N15" s="9" t="str">
        <v>Scheduling &amp; Efficiency</v>
      </c>
      <c r="O15" s="9" t="str">
        <v>Scheduling Efficiency</v>
      </c>
      <c r="P15" s="9" t="str">
        <v>Total Districtwide</v>
      </c>
      <c r="Q15" s="9" t="str">
        <v>Enrollment Management Dashboard</v>
      </c>
      <c r="R15" s="9">
        <v>0</v>
      </c>
      <c r="S15" s="9" t="str">
        <v>Percentage</v>
      </c>
      <c r="T15" s="9" t="str">
        <v>Proportion of available course section seats filled at census districtwide.</v>
      </c>
      <c r="U15" s="9" t="str">
        <v>Scheduling &amp; Operating Processes and Waitlist Management</v>
      </c>
      <c r="V15" s="30" t="str">
        <v>Goal 2: Increase Scheduling Efficiency</v>
      </c>
      <c r="W15" s="30">
        <v>0</v>
      </c>
      <c r="X15" s="30">
        <v>0</v>
      </c>
      <c r="Y15" s="30" t="str">
        <v>Pillar III. Stay on the Path</v>
      </c>
      <c r="Z15" s="9">
        <v>0</v>
      </c>
      <c r="AA15" s="10" t="str">
        <v>Tracked in EMP Metrics ('Districtwide Course Fill Rate') and EMP Dashboard ('Course Fill Rate').</v>
      </c>
    </row>
    <row r="16" spans="1:27" x14ac:dyDescent="0.25">
      <c r="A16" s="9" t="str">
        <v>M-013</v>
      </c>
      <c r="B16" s="9" t="str">
        <v>Educational Master Plan</v>
      </c>
      <c r="C16" s="9" t="str">
        <v>FTES/FTEF Ratio</v>
      </c>
      <c r="D16" s="9">
        <v>0</v>
      </c>
      <c r="E16" s="9">
        <v>0</v>
      </c>
      <c r="F16" s="9">
        <v>12.53</v>
      </c>
      <c r="G16" s="9">
        <v>13.14</v>
      </c>
      <c r="H16" s="9">
        <v>13.16</v>
      </c>
      <c r="I16" s="9">
        <v>14.09</v>
      </c>
      <c r="J16" s="9">
        <v>14.09</v>
      </c>
      <c r="K16" s="9">
        <v>15</v>
      </c>
      <c r="L16" s="9">
        <v>0</v>
      </c>
      <c r="M16" s="9">
        <v>0</v>
      </c>
      <c r="N16" s="9" t="str">
        <v>Scheduling &amp; Efficiency</v>
      </c>
      <c r="O16" s="9" t="str">
        <v>Scheduling Efficiency</v>
      </c>
      <c r="P16" s="9" t="str">
        <v>Total Districtwide</v>
      </c>
      <c r="Q16" s="9" t="str">
        <v>IR Dashboard</v>
      </c>
      <c r="R16" s="9">
        <v>0</v>
      </c>
      <c r="S16" s="9" t="str">
        <v>Ratio</v>
      </c>
      <c r="T16" s="9" t="str">
        <v>Ratio of Full-Time Equivalent Students (FTES) to Full-Time Equivalent Faculty (FTEF).</v>
      </c>
      <c r="U16" s="9" t="str">
        <v>Scheduling &amp; Operating Processes and Waitlist Management</v>
      </c>
      <c r="V16" s="30" t="str">
        <v>Goal 2: Increase Scheduling Efficiency</v>
      </c>
      <c r="W16" s="30">
        <v>0</v>
      </c>
      <c r="X16" s="30">
        <v>0</v>
      </c>
      <c r="Y16" s="30" t="str">
        <v>Pillar III. Stay on the Path</v>
      </c>
      <c r="Z16" s="9">
        <v>0</v>
      </c>
      <c r="AA16" s="10" t="str">
        <v>EMP Metrics sheet lists 12.53 / 13.14 / 13.16 / 14.09; EMP Dashboard lists 12.49 / 13.12 / 13.14 for 2022-25.</v>
      </c>
    </row>
    <row r="17" spans="1:27" x14ac:dyDescent="0.25">
      <c r="A17" s="9" t="str">
        <v>M-014</v>
      </c>
      <c r="B17" s="9" t="str">
        <v>Educational Master Plan</v>
      </c>
      <c r="C17" s="9" t="str">
        <v>Percentage of Sections Online</v>
      </c>
      <c r="D17" s="9">
        <v>0</v>
      </c>
      <c r="E17" s="9">
        <v>0</v>
      </c>
      <c r="F17" s="9">
        <v>0.76</v>
      </c>
      <c r="G17" s="9">
        <v>0.7</v>
      </c>
      <c r="H17" s="9">
        <v>0.69</v>
      </c>
      <c r="I17" s="9">
        <v>0</v>
      </c>
      <c r="J17" s="9">
        <v>0</v>
      </c>
      <c r="K17" s="9">
        <v>0</v>
      </c>
      <c r="L17" s="9">
        <v>0</v>
      </c>
      <c r="M17" s="9">
        <v>0</v>
      </c>
      <c r="N17" s="9" t="str">
        <v>Scheduling &amp; Efficiency</v>
      </c>
      <c r="O17" s="9" t="str">
        <v>Section Modality Distribution</v>
      </c>
      <c r="P17" s="9" t="str">
        <v>Modality: Online</v>
      </c>
      <c r="Q17" s="9" t="str">
        <v>IR Dashboard</v>
      </c>
      <c r="R17" s="9">
        <v>0</v>
      </c>
      <c r="S17" s="9" t="str">
        <v>Percentage</v>
      </c>
      <c r="T17" s="9" t="str">
        <v>Percentage of course sections offered fully online.</v>
      </c>
      <c r="U17" s="9" t="str">
        <v>Session Length &amp; Modality</v>
      </c>
      <c r="V17" s="30" t="str">
        <v>Goal 3: Strengthen Persistence, Retention, and Momentum</v>
      </c>
      <c r="W17" s="30">
        <v>0</v>
      </c>
      <c r="X17" s="30">
        <v>0</v>
      </c>
      <c r="Y17" s="30" t="str">
        <v>Pillar III. Stay on the Path</v>
      </c>
      <c r="Z17" s="9">
        <v>0</v>
      </c>
      <c r="AA17" s="10" t="str">
        <v>Tracked on EMP Dashboard ('% Sections Online').</v>
      </c>
    </row>
    <row r="18" spans="1:27" x14ac:dyDescent="0.25">
      <c r="A18" s="9" t="str">
        <v>M-015</v>
      </c>
      <c r="B18" s="9" t="str">
        <v>Educational Master Plan</v>
      </c>
      <c r="C18" s="9" t="str">
        <v>Percentage of Sections In-Person / Hybrid</v>
      </c>
      <c r="D18" s="9">
        <v>0</v>
      </c>
      <c r="E18" s="9">
        <v>0</v>
      </c>
      <c r="F18" s="9">
        <v>0.24</v>
      </c>
      <c r="G18" s="9">
        <v>0.3</v>
      </c>
      <c r="H18" s="9">
        <v>0.31</v>
      </c>
      <c r="I18" s="9">
        <v>0</v>
      </c>
      <c r="J18" s="9">
        <v>0</v>
      </c>
      <c r="K18" s="9">
        <v>0</v>
      </c>
      <c r="L18" s="9">
        <v>0</v>
      </c>
      <c r="M18" s="9">
        <v>0</v>
      </c>
      <c r="N18" s="9" t="str">
        <v>Scheduling &amp; Efficiency</v>
      </c>
      <c r="O18" s="9" t="str">
        <v>Section Modality Distribution</v>
      </c>
      <c r="P18" s="9" t="str">
        <v>Modality: In-Person / Hybrid</v>
      </c>
      <c r="Q18" s="9" t="str">
        <v>IR Dashboard</v>
      </c>
      <c r="R18" s="9">
        <v>0</v>
      </c>
      <c r="S18" s="9" t="str">
        <v>Percentage</v>
      </c>
      <c r="T18" s="9" t="str">
        <v>Percentage of course sections offered in-person or hybrid.</v>
      </c>
      <c r="U18" s="9" t="str">
        <v>Session Length &amp; Modality</v>
      </c>
      <c r="V18" s="30" t="str">
        <v>Goal 3: Strengthen Persistence, Retention, and Momentum</v>
      </c>
      <c r="W18" s="30">
        <v>0</v>
      </c>
      <c r="X18" s="30">
        <v>0</v>
      </c>
      <c r="Y18" s="30" t="str">
        <v>Pillar III. Stay on the Path</v>
      </c>
      <c r="Z18" s="9">
        <v>0</v>
      </c>
      <c r="AA18" s="10" t="str">
        <v>Tracked on EMP Dashboard ('% Sections In-Person/Hybrid').</v>
      </c>
    </row>
    <row r="19" spans="1:27" x14ac:dyDescent="0.25">
      <c r="A19" s="9" t="str">
        <v>M-016</v>
      </c>
      <c r="B19" s="9" t="str">
        <v>Educational Master Plan; Strategic Plan (2026-2030); Ongoing Report Card</v>
      </c>
      <c r="C19" s="9" t="str">
        <v>Annual Overall Course Success Rate</v>
      </c>
      <c r="D19" s="9">
        <v>0.70199999999999996</v>
      </c>
      <c r="E19" s="9">
        <v>0.67</v>
      </c>
      <c r="F19" s="9">
        <v>0.67300000000000004</v>
      </c>
      <c r="G19" s="9">
        <v>0.71099999999999997</v>
      </c>
      <c r="H19" s="9">
        <v>0.74099999999999999</v>
      </c>
      <c r="I19" s="9">
        <v>0.76080000000000003</v>
      </c>
      <c r="J19" s="9">
        <v>0.76080000000000003</v>
      </c>
      <c r="K19" s="9">
        <v>0.8</v>
      </c>
      <c r="L19" s="9">
        <v>0.74099999999999999</v>
      </c>
      <c r="M19" s="9">
        <v>0.8</v>
      </c>
      <c r="N19" s="9" t="str">
        <v>Course Success; Retention &amp; Persistence</v>
      </c>
      <c r="O19" s="9" t="str">
        <v>Course Success Rate</v>
      </c>
      <c r="P19" s="9" t="str">
        <v>Total Districtwide</v>
      </c>
      <c r="Q19" s="9" t="str">
        <v>IR Dashboard</v>
      </c>
      <c r="R19" s="9" t="str">
        <v>ACCJC Standards</v>
      </c>
      <c r="S19" s="9" t="str">
        <v>Percentage</v>
      </c>
      <c r="T19" s="9" t="str">
        <v>The percentage of enrollments earning a grade of A, B, C, or Pass out of total graded enrollments in a given year.</v>
      </c>
      <c r="U19" s="9" t="str">
        <v>Session Length &amp; Modality</v>
      </c>
      <c r="V19" s="30" t="str">
        <v>Goal 3: Strengthen Persistence, Retention, and Momentum</v>
      </c>
      <c r="W19" s="30" t="str">
        <v>1: Success</v>
      </c>
      <c r="X19" s="30" t="str">
        <v>1.3 Improve course success rates</v>
      </c>
      <c r="Y19" s="30" t="str">
        <v>Pillar III. Stay on the Path</v>
      </c>
      <c r="Z19" s="9" t="str">
        <v>Executive Director, Institutional Research</v>
      </c>
      <c r="AA19" s="10" t="str">
        <v>Overlaps across all 3 documents: Strategic Plan ('Annual Course Success Rate', 2024-25 baseline 74.1%, target 80%), EMP Dashboard ('Overall Course Success Rate'), and Ongoing Report Card ('Course Success Rates', 2025-26 = 76.08%).</v>
      </c>
    </row>
    <row r="20" spans="1:27" x14ac:dyDescent="0.25">
      <c r="A20" s="9" t="str">
        <v>M-017</v>
      </c>
      <c r="B20" s="9" t="str">
        <v>Educational Master Plan</v>
      </c>
      <c r="C20" s="9" t="str">
        <v>Overall In-Person Course Success Rate</v>
      </c>
      <c r="D20" s="9">
        <v>0</v>
      </c>
      <c r="E20" s="9">
        <v>0</v>
      </c>
      <c r="F20" s="9">
        <v>0</v>
      </c>
      <c r="G20" s="9">
        <v>0</v>
      </c>
      <c r="H20" s="9">
        <v>0.76500000000000001</v>
      </c>
      <c r="I20" s="9">
        <v>0.76100000000000001</v>
      </c>
      <c r="J20" s="9">
        <v>0.76100000000000001</v>
      </c>
      <c r="K20" s="9">
        <v>0.8</v>
      </c>
      <c r="L20" s="9">
        <v>0</v>
      </c>
      <c r="M20" s="9">
        <v>0</v>
      </c>
      <c r="N20" s="9" t="str">
        <v>Course Success; Retention &amp; Persistence</v>
      </c>
      <c r="O20" s="9" t="str">
        <v>Course Success Rate</v>
      </c>
      <c r="P20" s="9" t="str">
        <v>Modality: In-Person</v>
      </c>
      <c r="Q20" s="9" t="str">
        <v>IR Dashboard</v>
      </c>
      <c r="R20" s="9" t="str">
        <v>ACCJC Standards</v>
      </c>
      <c r="S20" s="9" t="str">
        <v>Percentage</v>
      </c>
      <c r="T20" s="9" t="str">
        <v>The percentage of enrollments in in-person sections earning a grade of A, B, C, or Pass out of total graded in-person enrollments.</v>
      </c>
      <c r="U20" s="9" t="str">
        <v>Session Length &amp; Modality</v>
      </c>
      <c r="V20" s="30" t="str">
        <v>Goal 3: Strengthen Persistence, Retention, and Momentum</v>
      </c>
      <c r="W20" s="30">
        <v>0</v>
      </c>
      <c r="X20" s="30">
        <v>0</v>
      </c>
      <c r="Y20" s="30" t="str">
        <v>Pillar III. Stay on the Path</v>
      </c>
      <c r="Z20" s="9" t="str">
        <v>Executive Director, Institutional Research</v>
      </c>
      <c r="AA20" s="10" t="str">
        <v>Tracked in EMP Metrics sheet; flagged in EMP as aligned with the Strategic Plan Course Success Rate goal.</v>
      </c>
    </row>
    <row r="21" spans="1:27" x14ac:dyDescent="0.25">
      <c r="A21" s="9" t="str">
        <v>M-018</v>
      </c>
      <c r="B21" s="9" t="str">
        <v>Educational Master Plan</v>
      </c>
      <c r="C21" s="9" t="str">
        <v>Overall Online Course Success Rate</v>
      </c>
      <c r="D21" s="9">
        <v>0</v>
      </c>
      <c r="E21" s="9">
        <v>0</v>
      </c>
      <c r="F21" s="9">
        <v>0</v>
      </c>
      <c r="G21" s="9">
        <v>0</v>
      </c>
      <c r="H21" s="9">
        <v>0.75900000000000001</v>
      </c>
      <c r="I21" s="9">
        <v>0</v>
      </c>
      <c r="J21" s="9">
        <v>0</v>
      </c>
      <c r="K21" s="9">
        <v>0</v>
      </c>
      <c r="L21" s="9">
        <v>0</v>
      </c>
      <c r="M21" s="9">
        <v>0</v>
      </c>
      <c r="N21" s="9" t="str">
        <v>Course Success; Retention &amp; Persistence</v>
      </c>
      <c r="O21" s="9" t="str">
        <v>Course Success Rate</v>
      </c>
      <c r="P21" s="9" t="str">
        <v>Modality: Online</v>
      </c>
      <c r="Q21" s="9" t="str">
        <v>IR Dashboard</v>
      </c>
      <c r="R21" s="9">
        <v>0</v>
      </c>
      <c r="S21" s="9" t="str">
        <v>Percentage</v>
      </c>
      <c r="T21" s="9" t="str">
        <v>The percentage of enrollments in online sections earning a grade of A, B, C, or Pass out of total graded online enrollments.</v>
      </c>
      <c r="U21" s="9" t="str">
        <v>Session Length &amp; Modality</v>
      </c>
      <c r="V21" s="30" t="str">
        <v>Goal 3: Strengthen Persistence, Retention, and Momentum</v>
      </c>
      <c r="W21" s="30">
        <v>0</v>
      </c>
      <c r="X21" s="30">
        <v>0</v>
      </c>
      <c r="Y21" s="30" t="str">
        <v>Pillar III. Stay on the Path</v>
      </c>
      <c r="Z21" s="9" t="str">
        <v>Executive Director, Institutional Research</v>
      </c>
      <c r="AA21" s="10" t="str">
        <v>Tracked in EMP Metrics sheet.</v>
      </c>
    </row>
    <row r="22" spans="1:27" ht="30" x14ac:dyDescent="0.25">
      <c r="A22" s="9" t="str">
        <v>M-020a</v>
      </c>
      <c r="B22" s="9" t="str">
        <v>Educational Master Plan; Ongoing Report Card</v>
      </c>
      <c r="C22" s="9" t="str">
        <v>Fall-to-Spring Persistence Rate (EMP / Informer)</v>
      </c>
      <c r="D22" s="9">
        <v>0.68100000000000005</v>
      </c>
      <c r="E22" s="9">
        <v>0.64300000000000002</v>
      </c>
      <c r="F22" s="9">
        <v>0.66600000000000004</v>
      </c>
      <c r="G22" s="9">
        <v>0.66200000000000003</v>
      </c>
      <c r="H22" s="9">
        <v>0.67800000000000005</v>
      </c>
      <c r="I22" s="9">
        <v>0.68200000000000005</v>
      </c>
      <c r="J22" s="9">
        <v>0.68200000000000005</v>
      </c>
      <c r="K22" s="9">
        <v>0.73</v>
      </c>
      <c r="L22" s="9">
        <v>0</v>
      </c>
      <c r="M22" s="9">
        <v>0</v>
      </c>
      <c r="N22" s="9" t="str">
        <v>Course Success; Retention &amp; Persistence</v>
      </c>
      <c r="O22" s="9" t="str">
        <v>Persistence Rate</v>
      </c>
      <c r="P22" s="9" t="str">
        <v>Total Districtwide</v>
      </c>
      <c r="Q22" s="9" t="str">
        <v>IR Office / Informer</v>
      </c>
      <c r="R22" s="9" t="str">
        <v>Student Equity &amp; Achievement (SEA)</v>
      </c>
      <c r="S22" s="9" t="str">
        <v>Percentage</v>
      </c>
      <c r="T22" s="9" t="str">
        <v>The percentage of fall-enrolled students who continued into the following spring term.</v>
      </c>
      <c r="U22" s="9" t="str">
        <v>Scheduling &amp; Operating Processes and Waitlist Management</v>
      </c>
      <c r="V22" s="30" t="str">
        <v>Goal 3: Strengthen Persistence, Retention, and Momentum</v>
      </c>
      <c r="W22" s="30">
        <v>0</v>
      </c>
      <c r="X22" s="30">
        <v>0</v>
      </c>
      <c r="Y22" s="30" t="str">
        <v>Pillar III. Stay on the Path</v>
      </c>
      <c r="Z22" s="9" t="str">
        <v>Executive Director, Institutional Research</v>
      </c>
      <c r="AA22" s="10" t="str">
        <v>Tracked in EMP Metrics &amp; Dashboard and Ongoing Report Card. Annual figures: 2020-21=68.10%, 2021-22=64.30%, 2022-23=66.60%, 2023-24=66.20%, 2024-25=67.80%, 2025-26 baseline=68.20%, Target=73.00%. Measures all fall-enrolled students persisting to spring.</v>
      </c>
    </row>
    <row r="23" spans="1:27" x14ac:dyDescent="0.25">
      <c r="A23" s="9" t="str">
        <v>M-021</v>
      </c>
      <c r="B23" s="9" t="str">
        <v>Educational Master Plan; Ongoing Report Card</v>
      </c>
      <c r="C23" s="9" t="str">
        <v>Percentage of Unique Enrolled Students with Comprehensive Ed Plan (SEP)</v>
      </c>
      <c r="D23" s="9">
        <v>0.73899999999999999</v>
      </c>
      <c r="E23" s="9">
        <v>0.67200000000000004</v>
      </c>
      <c r="F23" s="9">
        <v>0.59799999999999998</v>
      </c>
      <c r="G23" s="9">
        <v>0.57799999999999996</v>
      </c>
      <c r="H23" s="9">
        <v>0.59599999999999997</v>
      </c>
      <c r="I23" s="9">
        <v>0.626</v>
      </c>
      <c r="J23" s="9">
        <v>0.626</v>
      </c>
      <c r="K23" s="9">
        <v>0</v>
      </c>
      <c r="L23" s="9">
        <v>0</v>
      </c>
      <c r="M23" s="9">
        <v>0</v>
      </c>
      <c r="N23" s="9" t="str">
        <v>Momentum &amp; Guided Pathways</v>
      </c>
      <c r="O23" s="9" t="str">
        <v>Comprehensive Student Education Plan (SEP)</v>
      </c>
      <c r="P23" s="9" t="str">
        <v>Rate (% of Unique Enrolled Students)</v>
      </c>
      <c r="Q23" s="9" t="str">
        <v>Informer (Calculated: Unique Enrolled Students with Comp Ed Plan / Unduplicated Headcount)</v>
      </c>
      <c r="R23" s="9">
        <v>0</v>
      </c>
      <c r="S23" s="9" t="str">
        <v>Percentage</v>
      </c>
      <c r="T23" s="9" t="str">
        <v>Percentage of unique enrolled students who have a completed Comprehensive Student Education Plan (SEP).</v>
      </c>
      <c r="U23" s="9" t="str">
        <v>Scheduling &amp; Operating Processes and Waitlist Management</v>
      </c>
      <c r="V23" s="30" t="str">
        <v>Goal 3: Strengthen Persistence, Retention, and Momentum</v>
      </c>
      <c r="W23" s="30">
        <v>0</v>
      </c>
      <c r="X23" s="30">
        <v>0</v>
      </c>
      <c r="Y23" s="30" t="str">
        <v>Pillar I. Clarify the Path; Pillar II. Enter the Path</v>
      </c>
      <c r="Z23" s="9">
        <v>0</v>
      </c>
      <c r="AA23" s="10" t="str">
        <v>Overlaps between EMP Dashboard ('% Students with Comp. SEP') and Ongoing Report Card ('Percentage of Unique Enrolled Students with Comprehensive Ed Plan'). Note: 23-24 RC sheet had slightly different historical percentages (67.5%, 60.2%, 58.1%).</v>
      </c>
    </row>
    <row r="24" spans="1:27" ht="30" x14ac:dyDescent="0.25">
      <c r="A24" s="9" t="str">
        <v>M-026</v>
      </c>
      <c r="B24" s="9" t="str">
        <v>Educational Master Plan; Ongoing Report Card</v>
      </c>
      <c r="C24" s="9" t="str">
        <v>Completion of Both Transfer-Level Math &amp; English in First Year</v>
      </c>
      <c r="D24" s="9">
        <v>0</v>
      </c>
      <c r="E24" s="9">
        <v>0</v>
      </c>
      <c r="F24" s="9">
        <v>925</v>
      </c>
      <c r="G24" s="9">
        <v>895</v>
      </c>
      <c r="H24" s="9">
        <v>902</v>
      </c>
      <c r="I24" s="9">
        <v>0</v>
      </c>
      <c r="J24" s="9">
        <v>0</v>
      </c>
      <c r="K24" s="9">
        <v>0</v>
      </c>
      <c r="L24" s="9">
        <v>0</v>
      </c>
      <c r="M24" s="9">
        <v>0</v>
      </c>
      <c r="N24" s="9" t="str">
        <v>Momentum &amp; Guided Pathways</v>
      </c>
      <c r="O24" s="9" t="str">
        <v>First-Year Transfer-Level Math &amp; English Momentum</v>
      </c>
      <c r="P24" s="9" t="str">
        <v>Both Transfer-Level Math &amp; English (Non-Special Admit)</v>
      </c>
      <c r="Q24" s="9" t="str">
        <v>2024-25 SCFF data report; DataVista</v>
      </c>
      <c r="R24" s="9" t="str">
        <v>Student Centered Funding Formula (SCFF)</v>
      </c>
      <c r="S24" s="9" t="str">
        <v>Count</v>
      </c>
      <c r="T24" s="9" t="str">
        <v>Headcount of non-special admit students who completed both transfer-level math and English in their first academic year.</v>
      </c>
      <c r="U24" s="9" t="str">
        <v>Session Length &amp; Modality</v>
      </c>
      <c r="V24" s="30" t="str">
        <v>Goal 3: Strengthen Persistence, Retention, and Momentum</v>
      </c>
      <c r="W24" s="30">
        <v>0</v>
      </c>
      <c r="X24" s="30">
        <v>0</v>
      </c>
      <c r="Y24" s="30" t="str">
        <v>Pillar II. Enter the Path</v>
      </c>
      <c r="Z24" s="9">
        <v>0</v>
      </c>
      <c r="AA24" s="10" t="str">
        <v>Report Card 23-24 SCFF report lists 602 (20-21), 534 (21-22), 591 (22-23), 641 (23-24); DataVista sheet lists 593, 524, 589, 633 (with cohort totals 5,590; 6,702; 7,654; 8,498 and rates 10.6%, 7.8%, 7.7%, 7.4%). Note: EMP Dashboard row 'TL English + Math Completers' lists 925 / 895 / 902 (which duplicates the Transfers to 4-Year row in EMP Dashboard; verify cell reference in EMP Dashboard).</v>
      </c>
    </row>
    <row r="25" spans="1:27" ht="30" x14ac:dyDescent="0.25">
      <c r="A25" s="9" t="str">
        <v>M-028a</v>
      </c>
      <c r="B25" s="9" t="str">
        <v>Educational Master Plan; Ongoing Report Card</v>
      </c>
      <c r="C25" s="9" t="str">
        <v>Associate Degree for Transfer (ADT) Earners (Headcount – SCFF / EMP)</v>
      </c>
      <c r="D25" s="9">
        <v>1283</v>
      </c>
      <c r="E25" s="9">
        <v>1123</v>
      </c>
      <c r="F25" s="9">
        <v>1115</v>
      </c>
      <c r="G25" s="9">
        <v>1088</v>
      </c>
      <c r="H25" s="9">
        <v>1375</v>
      </c>
      <c r="I25" s="9">
        <v>0</v>
      </c>
      <c r="J25" s="9">
        <v>0</v>
      </c>
      <c r="K25" s="9">
        <v>0</v>
      </c>
      <c r="L25" s="9">
        <v>0</v>
      </c>
      <c r="M25" s="9">
        <v>0</v>
      </c>
      <c r="N25" s="9" t="str">
        <v>Completion &amp; Credentials</v>
      </c>
      <c r="O25" s="9" t="str">
        <v>Awards &amp; Credentials</v>
      </c>
      <c r="P25" s="9" t="str">
        <v>Associate Degree for Transfer (ADT) - Headcount (SCFF Highest Award)</v>
      </c>
      <c r="Q25" s="9" t="str">
        <v>SCFF file from CCCCO</v>
      </c>
      <c r="R25" s="9" t="str">
        <v>ACCJC Standards; Strong Workforce Program (SWP); Student Centered Funding Formula (SCFF); Student Equity &amp; Achievement (SEA); Vision 2030</v>
      </c>
      <c r="S25" s="9" t="str">
        <v>Count (Headcount)</v>
      </c>
      <c r="T25" s="9" t="str">
        <v>Headcount of students by district who were reported as receiving a Chancellor's Office approved associate degree for transfer (ADT) at the district in the reporting year and were reported with an enrollment at the district in the reporting year (SCFF highest award criteria).</v>
      </c>
      <c r="U25" s="9" t="str">
        <v>Scheduling &amp; Operating Processes and Waitlist Management</v>
      </c>
      <c r="V25" s="30" t="str">
        <v>Goal 4: Accelerate Completion, Credential Attainment, and Transfer</v>
      </c>
      <c r="W25" s="30">
        <v>0</v>
      </c>
      <c r="X25" s="30">
        <v>0</v>
      </c>
      <c r="Y25" s="30" t="str">
        <v>Pillar IV. Ensure Learning</v>
      </c>
      <c r="Z25" s="9" t="str">
        <v>Executive Director, Institutional Research</v>
      </c>
      <c r="AA25" s="10" t="str">
        <v>Tracked in EMP Metrics &amp; Dashboard and Ongoing Report Card 23-24. Under SCFF rules, only counts highest award earned per enrolled student (2020-21=1,283; 2021-22=1,123; 2022-23=1,115; 2023-24=1,088; 2024-25=1,375). For duplicated ADT awards, see M-092.</v>
      </c>
    </row>
    <row r="26" spans="1:27" x14ac:dyDescent="0.25">
      <c r="A26" s="9" t="str">
        <v>M-029</v>
      </c>
      <c r="B26" s="9" t="str">
        <v>Educational Master Plan; Ongoing Report Card</v>
      </c>
      <c r="C26" s="9" t="str">
        <v>Associate Degree (AA/AS Not for Transfer) Earners (Headcount)</v>
      </c>
      <c r="D26" s="9">
        <v>812</v>
      </c>
      <c r="E26" s="9">
        <v>728</v>
      </c>
      <c r="F26" s="9">
        <v>573</v>
      </c>
      <c r="G26" s="9">
        <v>523</v>
      </c>
      <c r="H26" s="9">
        <v>544</v>
      </c>
      <c r="I26" s="9">
        <v>0</v>
      </c>
      <c r="J26" s="9">
        <v>0</v>
      </c>
      <c r="K26" s="9">
        <v>0</v>
      </c>
      <c r="L26" s="9">
        <v>0</v>
      </c>
      <c r="M26" s="9">
        <v>0</v>
      </c>
      <c r="N26" s="9" t="str">
        <v>Completion &amp; Credentials</v>
      </c>
      <c r="O26" s="9" t="str">
        <v>Awards &amp; Credentials</v>
      </c>
      <c r="P26" s="9" t="str">
        <v>Associate Degree (AA/AS) - Headcount</v>
      </c>
      <c r="Q26" s="9" t="str">
        <v>SCFF file from CCCCO (2024-25 SCFF data report)</v>
      </c>
      <c r="R26" s="9" t="str">
        <v>ACCJC Standards; Strong Workforce Program (SWP); Student Centered Funding Formula (SCFF); Student Equity &amp; Achievement (SEA); Vision 2030</v>
      </c>
      <c r="S26" s="9" t="str">
        <v>Count (Headcount)</v>
      </c>
      <c r="T26" s="9" t="str">
        <v>Headcount of students who received a Chancellor's Office approved associate degree (AA/AS) and were enrolled in the reporting year, excluding those meeting SCFF ADT criteria.</v>
      </c>
      <c r="U26" s="9" t="str">
        <v>Scheduling &amp; Operating Processes and Waitlist Management</v>
      </c>
      <c r="V26" s="30" t="str">
        <v>Goal 4: Accelerate Completion, Credential Attainment, and Transfer</v>
      </c>
      <c r="W26" s="30">
        <v>0</v>
      </c>
      <c r="X26" s="30">
        <v>0</v>
      </c>
      <c r="Y26" s="30" t="str">
        <v>Pillar IV. Ensure Learning</v>
      </c>
      <c r="Z26" s="9" t="str">
        <v>Executive Director, Institutional Research</v>
      </c>
      <c r="AA26" s="10" t="str">
        <v>Overlaps between EMP ('Associate Degree Earners') and Ongoing Report Card 23-24 ('Headcount of Associate Degree Earners'). Counts highest award earned per student under SCFF rules. For total duplicated AA/AS awards, see M-104.</v>
      </c>
    </row>
    <row r="27" spans="1:27" ht="30" x14ac:dyDescent="0.25">
      <c r="A27" s="9" t="str">
        <v>M-030a</v>
      </c>
      <c r="B27" s="9" t="str">
        <v>Educational Master Plan; Ongoing Report Card</v>
      </c>
      <c r="C27" s="9" t="str">
        <v>Credit Certificate Earners (Headcount – SCFF / EMP)</v>
      </c>
      <c r="D27" s="9">
        <v>187</v>
      </c>
      <c r="E27" s="9">
        <v>220</v>
      </c>
      <c r="F27" s="9">
        <v>217</v>
      </c>
      <c r="G27" s="9">
        <v>280</v>
      </c>
      <c r="H27" s="9">
        <v>329</v>
      </c>
      <c r="I27" s="9">
        <v>0</v>
      </c>
      <c r="J27" s="9">
        <v>0</v>
      </c>
      <c r="K27" s="9">
        <v>0</v>
      </c>
      <c r="L27" s="9">
        <v>0</v>
      </c>
      <c r="M27" s="9">
        <v>0</v>
      </c>
      <c r="N27" s="9" t="str">
        <v>Completion &amp; Credentials</v>
      </c>
      <c r="O27" s="9" t="str">
        <v>Awards &amp; Credentials</v>
      </c>
      <c r="P27" s="9" t="str">
        <v>Credit Certificates - Headcount (SCFF 16+ Units Highest Award)</v>
      </c>
      <c r="Q27" s="9" t="str">
        <v>SCFF file from CCCCO</v>
      </c>
      <c r="R27" s="9" t="str">
        <v>ACCJC Standards; Strong Workforce Program (SWP); Student Centered Funding Formula (SCFF); Student Equity &amp; Achievement (SEA); Vision 2030</v>
      </c>
      <c r="S27" s="9" t="str">
        <v>Count (Headcount)</v>
      </c>
      <c r="T27" s="9" t="str">
        <v>Headcount of students by district who were reported as receiving a Chancellor's Office approved credit certificate requiring 16+ semester units at the district in the reporting year (SCFF criteria: certificate is highest award).</v>
      </c>
      <c r="U27" s="9" t="str">
        <v>Scheduling &amp; Operating Processes and Waitlist Management</v>
      </c>
      <c r="V27" s="30" t="str">
        <v>Goal 4: Accelerate Completion, Credential Attainment, and Transfer</v>
      </c>
      <c r="W27" s="30">
        <v>0</v>
      </c>
      <c r="X27" s="30">
        <v>0</v>
      </c>
      <c r="Y27" s="30" t="str">
        <v>Pillar IV. Ensure Learning</v>
      </c>
      <c r="Z27" s="9" t="str">
        <v>Executive Director, Institutional Research</v>
      </c>
      <c r="AA27" s="10" t="str">
        <v>Tracked in EMP Metrics &amp; Dashboard and Ongoing Report Card 23-24. SCFF rules track 16+ unit credit certificates where certificate is highest award (2020-21=187; 2021-22=220; 2022-23=217; 2023-24=280; 2024-25=329). For duplicated certificates, see M-086.</v>
      </c>
    </row>
    <row r="28" spans="1:27" ht="30" x14ac:dyDescent="0.25">
      <c r="A28" s="9" t="str">
        <v>M-031</v>
      </c>
      <c r="B28" s="9" t="str">
        <v>Educational Master Plan; Strategic Plan (2026-2030); Ongoing Report Card</v>
      </c>
      <c r="C28" s="9" t="str">
        <v>Average Units Accumulated – All Associate Degree Earners</v>
      </c>
      <c r="D28" s="9">
        <v>0</v>
      </c>
      <c r="E28" s="9">
        <v>0</v>
      </c>
      <c r="F28" s="9">
        <v>83.8</v>
      </c>
      <c r="G28" s="9">
        <v>86.5</v>
      </c>
      <c r="H28" s="9">
        <v>81</v>
      </c>
      <c r="I28" s="9">
        <v>0</v>
      </c>
      <c r="J28" s="9">
        <v>0</v>
      </c>
      <c r="K28" s="9">
        <v>0</v>
      </c>
      <c r="L28" s="9">
        <v>81</v>
      </c>
      <c r="M28" s="9">
        <v>76</v>
      </c>
      <c r="N28" s="9" t="str">
        <v>Completion &amp; Credentials</v>
      </c>
      <c r="O28" s="9" t="str">
        <v>Average Units Accumulated</v>
      </c>
      <c r="P28" s="9" t="str">
        <v>All Associate Degree Earners (AD &amp; ADT)</v>
      </c>
      <c r="Q28" s="9" t="str">
        <v>DataVista - Average Number of Semester Units Accumulated: Associate Degree Earners (613SW)</v>
      </c>
      <c r="R28" s="9" t="str">
        <v>ACCJC Standards; Student Centered Funding Formula (SCFF); Vision 2030</v>
      </c>
      <c r="S28" s="9" t="str">
        <v>Number (Units)</v>
      </c>
      <c r="T28" s="9" t="str">
        <v>The average number of semester units earned for completing an associate degree.</v>
      </c>
      <c r="U28" s="9" t="str">
        <v>Scheduling &amp; Operating Processes and Waitlist Management</v>
      </c>
      <c r="V28" s="30" t="str">
        <v>Goal 4: Accelerate Completion, Credential Attainment, and Transfer</v>
      </c>
      <c r="W28" s="30" t="str">
        <v>1: Success</v>
      </c>
      <c r="X28" s="30" t="str">
        <v>1.2 Reduce time to degree and certificate attainment</v>
      </c>
      <c r="Y28" s="30" t="str">
        <v>Pillar IV. Ensure Learning</v>
      </c>
      <c r="Z28" s="9" t="str">
        <v>Executive Director, Institutional Research</v>
      </c>
      <c r="AA28" s="10" t="str">
        <v>Overlaps across all 3 documents. Strategic Plan ('Average Units of All Degree Earners', DataVista 613SW) has 2024-25 baseline = 81, Target = 76. Ongoing Report Card 23-24 lists 83 (21-22), 82 (22-23), 81 (23-24) with a Vision 2030 goal note of 67 units by 2030. EMP Dashboard ('Avg Units – All Degree Earners') lists 83.8 (22-23) and 86.5 (23-24).</v>
      </c>
    </row>
    <row r="29" spans="1:27" ht="30" x14ac:dyDescent="0.25">
      <c r="A29" s="9" t="str">
        <v>M-032</v>
      </c>
      <c r="B29" s="9" t="str">
        <v>Educational Master Plan; Ongoing Report Card</v>
      </c>
      <c r="C29" s="9" t="str">
        <v>Average Units Accumulated – ADT Earners</v>
      </c>
      <c r="D29" s="9">
        <v>0</v>
      </c>
      <c r="E29" s="9">
        <v>83</v>
      </c>
      <c r="F29" s="9">
        <v>81</v>
      </c>
      <c r="G29" s="9">
        <v>79</v>
      </c>
      <c r="H29" s="9">
        <v>79</v>
      </c>
      <c r="I29" s="9">
        <v>0</v>
      </c>
      <c r="J29" s="9">
        <v>0</v>
      </c>
      <c r="K29" s="9">
        <v>77</v>
      </c>
      <c r="L29" s="9">
        <v>0</v>
      </c>
      <c r="M29" s="9">
        <v>0</v>
      </c>
      <c r="N29" s="9" t="str">
        <v>Completion &amp; Credentials</v>
      </c>
      <c r="O29" s="9" t="str">
        <v>Average Units Accumulated</v>
      </c>
      <c r="P29" s="9" t="str">
        <v>Associate Degree for Transfer (ADT) Earners</v>
      </c>
      <c r="Q29" s="9" t="str">
        <v>DataVista Dashboard</v>
      </c>
      <c r="R29" s="9" t="str">
        <v>ACCJC Standards; Vision 2030</v>
      </c>
      <c r="S29" s="9" t="str">
        <v>Number (Units)</v>
      </c>
      <c r="T29" s="9" t="str">
        <v>Average number of semester units earned by first-time Associate Degree for Transfer (ADT) earners in the reporting year.</v>
      </c>
      <c r="U29" s="9" t="str">
        <v>Scheduling &amp; Operating Processes and Waitlist Management</v>
      </c>
      <c r="V29" s="30" t="str">
        <v>Goal 4: Accelerate Completion, Credential Attainment, and Transfer</v>
      </c>
      <c r="W29" s="30">
        <v>0</v>
      </c>
      <c r="X29" s="30">
        <v>0</v>
      </c>
      <c r="Y29" s="30" t="str">
        <v>Pillar IV. Ensure Learning</v>
      </c>
      <c r="Z29" s="9" t="str">
        <v>Executive Director, Institutional Research</v>
      </c>
      <c r="AA29" s="10" t="str">
        <v>Overlaps between EMP Metrics ('Avg Units Accumulated for ADT Earners': 81 in 22-23, 79 in 23-24, 79 in 24-25, Target 77; EMP Dashboard lists 77 in 22-23, 79.1 in 23-24) and Ongoing Report Card 23-24 ('Vision 2030 Goal: Average Number of Semester Units Accumulated (AD-T)': 83 in 21-22, 82 in 22-23, 81 in 23-24).</v>
      </c>
    </row>
    <row r="30" spans="1:27" x14ac:dyDescent="0.25">
      <c r="A30" s="9" t="str">
        <v>M-033</v>
      </c>
      <c r="B30" s="9" t="str">
        <v>Educational Master Plan</v>
      </c>
      <c r="C30" s="9" t="str">
        <v>Average Units Accumulated – AA/AS Degree (Not for Transfer) Earners</v>
      </c>
      <c r="D30" s="9">
        <v>0</v>
      </c>
      <c r="E30" s="9">
        <v>0</v>
      </c>
      <c r="F30" s="9">
        <v>87.6</v>
      </c>
      <c r="G30" s="9">
        <v>87</v>
      </c>
      <c r="H30" s="9">
        <v>89.4</v>
      </c>
      <c r="I30" s="9">
        <v>0</v>
      </c>
      <c r="J30" s="9">
        <v>0</v>
      </c>
      <c r="K30" s="9">
        <v>79</v>
      </c>
      <c r="L30" s="9">
        <v>0</v>
      </c>
      <c r="M30" s="9">
        <v>0</v>
      </c>
      <c r="N30" s="9" t="str">
        <v>Completion &amp; Credentials</v>
      </c>
      <c r="O30" s="9" t="str">
        <v>Average Units Accumulated</v>
      </c>
      <c r="P30" s="9" t="str">
        <v>AA/AS Degree (Not for Transfer) Earners</v>
      </c>
      <c r="Q30" s="9" t="str">
        <v>DataVista Dashboard</v>
      </c>
      <c r="R30" s="9">
        <v>0</v>
      </c>
      <c r="S30" s="9" t="str">
        <v>Number (Units)</v>
      </c>
      <c r="T30" s="9" t="str">
        <v>Average number of semester units earned by AA/AS (not for transfer) associate degree earners in the reporting year.</v>
      </c>
      <c r="U30" s="9" t="str">
        <v>Scheduling &amp; Operating Processes and Waitlist Management</v>
      </c>
      <c r="V30" s="30" t="str">
        <v>Goal 4: Accelerate Completion, Credential Attainment, and Transfer</v>
      </c>
      <c r="W30" s="30">
        <v>0</v>
      </c>
      <c r="X30" s="30">
        <v>0</v>
      </c>
      <c r="Y30" s="30" t="str">
        <v>Pillar IV. Ensure Learning</v>
      </c>
      <c r="Z30" s="9">
        <v>0</v>
      </c>
      <c r="AA30" s="10" t="str">
        <v>Tracked in EMP Metrics sheet. Note: The original EMP sheet had a copy-paste error in the definition cell (showing transfer definition instead of AA/AS unit accumulation); corrected here.</v>
      </c>
    </row>
    <row r="31" spans="1:27" x14ac:dyDescent="0.25">
      <c r="A31" s="9" t="str">
        <v>M-034a</v>
      </c>
      <c r="B31" s="9" t="str">
        <v>Educational Master Plan; Ongoing Report Card</v>
      </c>
      <c r="C31" s="9" t="str">
        <v>Transfers to 4-Year Institutions (Total – SCFF / EMP)</v>
      </c>
      <c r="D31" s="9">
        <v>1062</v>
      </c>
      <c r="E31" s="9">
        <v>1104</v>
      </c>
      <c r="F31" s="9">
        <v>925</v>
      </c>
      <c r="G31" s="9">
        <v>895</v>
      </c>
      <c r="H31" s="9">
        <v>902</v>
      </c>
      <c r="I31" s="9">
        <v>0</v>
      </c>
      <c r="J31" s="9">
        <v>0</v>
      </c>
      <c r="K31" s="9">
        <v>0</v>
      </c>
      <c r="L31" s="9">
        <v>0</v>
      </c>
      <c r="M31" s="9">
        <v>0</v>
      </c>
      <c r="N31" s="9" t="str">
        <v>Transfer</v>
      </c>
      <c r="O31" s="9" t="str">
        <v>Transfers to 4-Year Institutions</v>
      </c>
      <c r="P31" s="9" t="str">
        <v>Total Districtwide (SCFF 12+ Units Prior Year)</v>
      </c>
      <c r="Q31" s="9" t="str">
        <v>SCFF file from CCCCO</v>
      </c>
      <c r="R31" s="9" t="str">
        <v>ACCJC Standards; Strong Workforce Program (SWP); Student Centered Funding Formula (SCFF); Student Equity &amp; Achievement (SEA); Vision 2030</v>
      </c>
      <c r="S31" s="9" t="str">
        <v>Count (Headcount)</v>
      </c>
      <c r="T31" s="9" t="str">
        <v>Headcount of students by district who earned 12+ semester units in the district in the year prior and enrolled at a 4-year institution in the reporting year.</v>
      </c>
      <c r="U31" s="9" t="str">
        <v>Scheduling &amp; Operating Processes and Waitlist Management</v>
      </c>
      <c r="V31" s="30" t="str">
        <v>Goal 4: Accelerate Completion, Credential Attainment, and Transfer</v>
      </c>
      <c r="W31" s="30">
        <v>0</v>
      </c>
      <c r="X31" s="30">
        <v>0</v>
      </c>
      <c r="Y31" s="30" t="str">
        <v>Pillar IV. Ensure Learning</v>
      </c>
      <c r="Z31" s="9" t="str">
        <v>Executive Director, Institutional Research</v>
      </c>
      <c r="AA31" s="10" t="str">
        <v>Tracked in EMP Metrics &amp; Dashboard and Ongoing Report Card 23-24. SCFF cohort definition requires 12+ units earned in the district in the prior year (2020-21=1,062; 2021-22=1,104; 2022-23=925; 2023-24=895; 2024-25=902).</v>
      </c>
    </row>
    <row r="32" spans="1:27" ht="30" x14ac:dyDescent="0.25">
      <c r="A32" s="9" t="str">
        <v>M-035</v>
      </c>
      <c r="B32" s="9" t="str">
        <v>Educational Master Plan; Strategic Plan (2026-2030); Ongoing Report Card</v>
      </c>
      <c r="C32" s="9" t="str">
        <v>Students Completing 9+ Career Education (CTE) Units</v>
      </c>
      <c r="D32" s="9">
        <v>2648</v>
      </c>
      <c r="E32" s="9">
        <v>2657</v>
      </c>
      <c r="F32" s="9">
        <v>2821</v>
      </c>
      <c r="G32" s="9">
        <v>3212</v>
      </c>
      <c r="H32" s="9">
        <v>3912</v>
      </c>
      <c r="I32" s="9">
        <v>0</v>
      </c>
      <c r="J32" s="9">
        <v>0</v>
      </c>
      <c r="K32" s="9">
        <v>0</v>
      </c>
      <c r="L32" s="9">
        <v>0.13</v>
      </c>
      <c r="M32" s="9">
        <v>0.18</v>
      </c>
      <c r="N32" s="9" t="str">
        <v>Career &amp; Workforce</v>
      </c>
      <c r="O32" s="9" t="str">
        <v>Career Education (CTE) Momentum</v>
      </c>
      <c r="P32" s="9" t="str">
        <v>Total Districtwide</v>
      </c>
      <c r="Q32" s="9" t="str">
        <v>2024-25 SCFF data report (EMP / RC); DataVista - Earned 9+ Career Education Units 402SW (Strategic Plan)</v>
      </c>
      <c r="R32" s="9" t="str">
        <v>Strong Workforce Program (SWP); Student Centered Funding Formula (SCFF)</v>
      </c>
      <c r="S32" s="9" t="str">
        <v>Count (EMP/RC) / Percentage (SP)</v>
      </c>
      <c r="T32" s="9" t="str">
        <v>Students who successfully completed 9 or more Career Technical Education (CTE) semester units in the selected year within the district.</v>
      </c>
      <c r="U32" s="9" t="str">
        <v>Scheduling &amp; Operating Processes and Waitlist Management</v>
      </c>
      <c r="V32" s="30" t="str">
        <v>Goal 4: Accelerate Completion, Credential Attainment, and Transfer</v>
      </c>
      <c r="W32" s="30" t="str">
        <v>3: Career</v>
      </c>
      <c r="X32" s="30" t="str">
        <v>3.1 Align programs with regional workforce needs</v>
      </c>
      <c r="Y32" s="30" t="str">
        <v>Pillar IV. Ensure Learning</v>
      </c>
      <c r="Z32" s="9" t="str">
        <v>Executive Director, Institutional Research</v>
      </c>
      <c r="AA32" s="10" t="str">
        <v>Overlaps across all 3 documents. EMP Dashboard &amp; Report Card 23-24 (SCFF) track headcount in year columns: 2,648 (20-21), 2,657 (21-22), 2,821 (22-23), 3,212 (23-24), 3,912 (24-25) (23-24 RC sheet also lists non-SCFF counts: 2,627; 2,633; 2,778; 3,163). Strategic Plan tracks proportion via DataVista (402SW): 2024-25 baseline = 13.0%, Target = 18.0%.</v>
      </c>
    </row>
  </sheetData>
  <autoFilter ref="A3:AA3" xr:uid="{5B0712D1-B1AC-4A4A-96F8-E273E2237416}"/>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7915C1B6-2271-4306-8D93-CDCEEFAFDB3B}">
          <x14:formula1>
            <xm:f>'dropdown options'!$A:$A</xm:f>
          </x14:formula1>
          <xm:sqref>B1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DD99B2-330E-43CD-862F-6C1F5F6523EE}">
  <dimension ref="A1:A4"/>
  <sheetViews>
    <sheetView workbookViewId="0">
      <selection activeCell="A2" sqref="A2"/>
    </sheetView>
  </sheetViews>
  <sheetFormatPr defaultRowHeight="15" x14ac:dyDescent="0.25"/>
  <cols>
    <col min="1" max="1" width="24" bestFit="1" customWidth="1"/>
  </cols>
  <sheetData>
    <row r="1" spans="1:1" x14ac:dyDescent="0.25">
      <c r="A1" t="s">
        <v>552</v>
      </c>
    </row>
    <row r="2" spans="1:1" x14ac:dyDescent="0.25">
      <c r="A2" t="s">
        <v>530</v>
      </c>
    </row>
    <row r="3" spans="1:1" x14ac:dyDescent="0.25">
      <c r="A3" t="s">
        <v>189</v>
      </c>
    </row>
    <row r="4" spans="1:1" x14ac:dyDescent="0.25">
      <c r="A4"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vt:lpstr>
      <vt:lpstr>view specific plans</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Joseph Cascio</cp:lastModifiedBy>
  <dcterms:created xsi:type="dcterms:W3CDTF">2026-10-14T18:45:56Z</dcterms:created>
  <dcterms:modified xsi:type="dcterms:W3CDTF">2026-10-15T18:10:57Z</dcterms:modified>
</cp:coreProperties>
</file>